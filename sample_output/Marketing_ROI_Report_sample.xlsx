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orecard" sheetId="2" state="visible" r:id="rId2"/>
    <sheet xmlns:r="http://schemas.openxmlformats.org/officeDocument/2006/relationships" name="Cohort Conversion" sheetId="3" state="visible" r:id="rId3"/>
    <sheet xmlns:r="http://schemas.openxmlformats.org/officeDocument/2006/relationships" name="Payback" sheetId="4" state="visible" r:id="rId4"/>
    <sheet xmlns:r="http://schemas.openxmlformats.org/officeDocument/2006/relationships" name="Budget Scenario" sheetId="5" state="visible" r:id="rId5"/>
    <sheet xmlns:r="http://schemas.openxmlformats.org/officeDocument/2006/relationships" name="Channel Monthly" sheetId="6" state="visible" r:id="rId6"/>
    <sheet xmlns:r="http://schemas.openxmlformats.org/officeDocument/2006/relationships" name="Data Checks" sheetId="7" state="visible" r:id="rId7"/>
    <sheet xmlns:r="http://schemas.openxmlformats.org/officeDocument/2006/relationships" name="Definitions" sheetId="8" state="visible" r:id="rId8"/>
  </sheets>
  <definedNames>
    <definedName name="ScaleROI">Summary!$B$5</definedName>
    <definedName name="CutROI">Summary!$B$6</definedName>
    <definedName name="MinSignups">Summary!$B$7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0%;(0%);&quot;0%&quot;"/>
    <numFmt numFmtId="165" formatCode="#,##0;(#,##0);&quot;-&quot;"/>
    <numFmt numFmtId="166" formatCode="$#,##0;($#,##0);&quot;-&quot;"/>
    <numFmt numFmtId="167" formatCode="0.00%;(0.00%);&quot;-&quot;"/>
    <numFmt numFmtId="168" formatCode="$#,##0.00;($#,##0.00);&quot;-&quot;"/>
    <numFmt numFmtId="169" formatCode="0.0%;(0.0%);&quot;-&quot;"/>
    <numFmt numFmtId="170" formatCode="0.00&quot;x&quot;;(0.00&quot;x&quot;);&quot;-&quot;"/>
    <numFmt numFmtId="171" formatCode="yyyy-mm-dd h:mm:ss"/>
    <numFmt numFmtId="172" formatCode="mmm yyyy"/>
  </numFmts>
  <fonts count="10">
    <font>
      <name val="Arial"/>
      <sz val="10"/>
    </font>
    <font>
      <name val="Arial"/>
      <sz val="10"/>
    </font>
    <font>
      <name val="Arial"/>
      <b val="1"/>
      <color rgb="001F3A5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b val="1"/>
      <color rgb="00000000"/>
      <sz val="10"/>
    </font>
    <font>
      <name val="Arial"/>
      <b val="1"/>
      <color rgb="001F3A5F"/>
      <sz val="11"/>
    </font>
    <font>
      <name val="Arial"/>
      <i val="1"/>
      <color rgb="00595959"/>
      <sz val="10"/>
    </font>
    <font>
      <name val="Arial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F00"/>
      </patternFill>
    </fill>
    <fill>
      <patternFill patternType="solid">
        <fgColor rgb="001D6F6A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top style="thin">
        <color rgb="008EA0B8"/>
      </top>
    </border>
  </borders>
  <cellStyleXfs count="1">
    <xf numFmtId="0" fontId="1" fillId="0" borderId="0"/>
  </cellStyleXfs>
  <cellXfs count="4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4" fontId="5" fillId="3" borderId="0" applyAlignment="1" pivotButton="0" quotePrefix="0" xfId="0">
      <alignment horizontal="right"/>
    </xf>
    <xf numFmtId="165" fontId="5" fillId="3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169" fontId="6" fillId="0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170" fontId="6" fillId="0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right"/>
    </xf>
    <xf numFmtId="168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center" vertical="center" wrapText="1"/>
    </xf>
    <xf numFmtId="166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64" fontId="0" fillId="0" borderId="0" pivotButton="0" quotePrefix="0" xfId="0"/>
    <xf numFmtId="0" fontId="6" fillId="5" borderId="1" pivotButton="0" quotePrefix="0" xfId="0"/>
    <xf numFmtId="166" fontId="6" fillId="5" borderId="1" pivotButton="0" quotePrefix="0" xfId="0"/>
    <xf numFmtId="165" fontId="6" fillId="5" borderId="1" pivotButton="0" quotePrefix="0" xfId="0"/>
    <xf numFmtId="0" fontId="6" fillId="5" borderId="1" applyAlignment="1" pivotButton="0" quotePrefix="0" xfId="0">
      <alignment horizontal="right"/>
    </xf>
    <xf numFmtId="167" fontId="6" fillId="5" borderId="1" pivotButton="0" quotePrefix="0" xfId="0"/>
    <xf numFmtId="168" fontId="6" fillId="5" borderId="1" pivotButton="0" quotePrefix="0" xfId="0"/>
    <xf numFmtId="169" fontId="6" fillId="5" borderId="1" pivotButton="0" quotePrefix="0" xfId="0"/>
    <xf numFmtId="170" fontId="6" fillId="5" borderId="1" pivotButton="0" quotePrefix="0" xfId="0"/>
    <xf numFmtId="164" fontId="6" fillId="5" borderId="1" pivotButton="0" quotePrefix="0" xfId="0"/>
    <xf numFmtId="0" fontId="7" fillId="0" borderId="0" pivotButton="0" quotePrefix="0" xfId="0"/>
    <xf numFmtId="172" fontId="0" fillId="0" borderId="0" pivotButton="0" quotePrefix="0" xfId="0"/>
    <xf numFmtId="0" fontId="0" fillId="0" borderId="0" applyAlignment="1" pivotButton="0" quotePrefix="0" xfId="0">
      <alignment horizontal="center"/>
    </xf>
    <xf numFmtId="0" fontId="8" fillId="0" borderId="0" pivotButton="0" quotePrefix="0" xfId="0"/>
    <xf numFmtId="164" fontId="8" fillId="0" borderId="0" pivotButton="0" quotePrefix="0" xfId="0"/>
    <xf numFmtId="0" fontId="9" fillId="0" borderId="0" pivotButton="0" quotePrefix="0" xfId="0"/>
    <xf numFmtId="166" fontId="6" fillId="0" borderId="0" pivotButton="0" quotePrefix="0" xfId="0"/>
    <xf numFmtId="165" fontId="6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ont>
        <name val="Arial"/>
        <b val="1"/>
        <color rgb="00006100"/>
      </font>
    </dxf>
    <dxf>
      <font>
        <name val="Arial"/>
        <b val="1"/>
        <color rgb="009C0006"/>
      </font>
    </dxf>
    <dxf>
      <font>
        <name val="Arial"/>
        <b val="1"/>
        <color rgb="007F6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30-day conversion by sign-up month</a:t>
            </a:r>
          </a:p>
        </rich>
      </tx>
    </title>
    <plotArea>
      <lineChart>
        <grouping val="standard"/>
        <ser>
          <idx val="0"/>
          <order val="0"/>
          <tx>
            <strRef>
              <f>'Cohort Conversion'!C33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'Cohort Conversion'!$A$34:$A$57</f>
            </numRef>
          </cat>
          <val>
            <numRef>
              <f>'Cohort Conversion'!$C$34:$C$57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 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Payback ratio by channel (100% = paid back)</a:t>
            </a:r>
          </a:p>
        </rich>
      </tx>
    </title>
    <plotArea>
      <lineChart>
        <grouping val="standard"/>
        <ser>
          <idx val="0"/>
          <order val="0"/>
          <tx>
            <strRef>
              <f>'Payback'!A28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'Payback'!$B$27:$M$27</f>
            </numRef>
          </cat>
          <val>
            <numRef>
              <f>'Payback'!$B$28:$M$28</f>
            </numRef>
          </val>
          <smooth val="0"/>
        </ser>
        <ser>
          <idx val="1"/>
          <order val="1"/>
          <tx>
            <strRef>
              <f>'Payback'!A29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'Payback'!$B$27:$M$27</f>
            </numRef>
          </cat>
          <val>
            <numRef>
              <f>'Payback'!$B$29:$M$29</f>
            </numRef>
          </val>
          <smooth val="0"/>
        </ser>
        <ser>
          <idx val="2"/>
          <order val="2"/>
          <tx>
            <strRef>
              <f>'Payback'!A30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'Payback'!$B$27:$M$27</f>
            </numRef>
          </cat>
          <val>
            <numRef>
              <f>'Payback'!$B$30:$M$30</f>
            </numRef>
          </val>
          <smooth val="0"/>
        </ser>
        <ser>
          <idx val="3"/>
          <order val="3"/>
          <tx>
            <strRef>
              <f>'Payback'!A31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'Payback'!$B$27:$M$27</f>
            </numRef>
          </cat>
          <val>
            <numRef>
              <f>'Payback'!$B$31:$M$31</f>
            </numRef>
          </val>
          <smooth val="0"/>
        </ser>
        <ser>
          <idx val="4"/>
          <order val="4"/>
          <tx>
            <strRef>
              <f>'Payback'!A32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'Payback'!$B$27:$M$27</f>
            </numRef>
          </cat>
          <val>
            <numRef>
              <f>'Payback'!$B$32:$M$32</f>
            </numRef>
          </val>
          <smooth val="0"/>
        </ser>
        <ser>
          <idx val="5"/>
          <order val="5"/>
          <tx>
            <strRef>
              <f>'Payback'!A33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'Payback'!$B$27:$M$27</f>
            </numRef>
          </cat>
          <val>
            <numRef>
              <f>'Payback'!$B$33:$M$33</f>
            </numRef>
          </val>
          <smooth val="0"/>
        </ser>
        <ser>
          <idx val="6"/>
          <order val="6"/>
          <tx>
            <strRef>
              <f>'Payback'!A34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'Payback'!$B$27:$M$27</f>
            </numRef>
          </cat>
          <val>
            <numRef>
              <f>'Payback'!$B$34:$M$34</f>
            </numRef>
          </val>
          <smooth val="0"/>
        </ser>
        <ser>
          <idx val="7"/>
          <order val="7"/>
          <tx>
            <strRef>
              <f>'Payback'!A35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'Payback'!$B$27:$M$27</f>
            </numRef>
          </cat>
          <val>
            <numRef>
              <f>'Payback'!$B$35:$M$35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Spend by channel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'Channel Monthly'!B5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'Channel Monthly'!$A$6:$A$29</f>
            </numRef>
          </cat>
          <val>
            <numRef>
              <f>'Channel Monthly'!$B$6:$B$29</f>
            </numRef>
          </val>
        </ser>
        <ser>
          <idx val="1"/>
          <order val="1"/>
          <tx>
            <strRef>
              <f>'Channel Monthly'!C5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'Channel Monthly'!$A$6:$A$29</f>
            </numRef>
          </cat>
          <val>
            <numRef>
              <f>'Channel Monthly'!$C$6:$C$29</f>
            </numRef>
          </val>
        </ser>
        <ser>
          <idx val="2"/>
          <order val="2"/>
          <tx>
            <strRef>
              <f>'Channel Monthly'!D5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'Channel Monthly'!$A$6:$A$29</f>
            </numRef>
          </cat>
          <val>
            <numRef>
              <f>'Channel Monthly'!$D$6:$D$29</f>
            </numRef>
          </val>
        </ser>
        <ser>
          <idx val="3"/>
          <order val="3"/>
          <tx>
            <strRef>
              <f>'Channel Monthly'!E5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'Channel Monthly'!$A$6:$A$29</f>
            </numRef>
          </cat>
          <val>
            <numRef>
              <f>'Channel Monthly'!$E$6:$E$29</f>
            </numRef>
          </val>
        </ser>
        <ser>
          <idx val="4"/>
          <order val="4"/>
          <tx>
            <strRef>
              <f>'Channel Monthly'!F5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'Channel Monthly'!$A$6:$A$29</f>
            </numRef>
          </cat>
          <val>
            <numRef>
              <f>'Channel Monthly'!$F$6:$F$29</f>
            </numRef>
          </val>
        </ser>
        <ser>
          <idx val="5"/>
          <order val="5"/>
          <tx>
            <strRef>
              <f>'Channel Monthly'!G5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'Channel Monthly'!$A$6:$A$29</f>
            </numRef>
          </cat>
          <val>
            <numRef>
              <f>'Channel Monthly'!$G$6:$G$29</f>
            </numRef>
          </val>
        </ser>
        <ser>
          <idx val="6"/>
          <order val="6"/>
          <tx>
            <strRef>
              <f>'Channel Monthly'!H5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'Channel Monthly'!$A$6:$A$29</f>
            </numRef>
          </cat>
          <val>
            <numRef>
              <f>'Channel Monthly'!$H$6:$H$29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mmm 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Blended monthly CAC</a:t>
            </a:r>
          </a:p>
        </rich>
      </tx>
    </title>
    <plotArea>
      <lineChart>
        <grouping val="standard"/>
        <ser>
          <idx val="0"/>
          <order val="0"/>
          <tx>
            <strRef>
              <f>'Channel Monthly'!I61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'Channel Monthly'!$A$62:$A$85</f>
            </numRef>
          </cat>
          <val>
            <numRef>
              <f>'Channel Monthly'!$I$62:$I$85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 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oneCellAnchor>
    <from>
      <col>15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3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21</row>
      <rowOff>0</rowOff>
    </from>
    <ext cx="72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2" customWidth="1" min="3" max="3"/>
    <col width="11" customWidth="1" min="4" max="4"/>
    <col width="9" customWidth="1" min="5" max="5"/>
    <col width="13" customWidth="1" min="6" max="6"/>
    <col width="19" customWidth="1" min="7" max="7"/>
  </cols>
  <sheetData>
    <row r="1">
      <c r="A1" s="1" t="inlineStr">
        <is>
          <t>Marketing ROI and Cohort Analysis</t>
        </is>
      </c>
    </row>
    <row r="2">
      <c r="A2" s="2" t="inlineStr">
        <is>
          <t>Sign-ups Jan 1, 2024 to Jul 5, 2025, outcomes within 180 days · built Oct 04, 2026 14:07 by mroi v1.0.0</t>
        </is>
      </c>
    </row>
    <row r="4">
      <c r="A4" s="3" t="inlineStr">
        <is>
          <t>Decision rules (change the yellow cells)</t>
        </is>
      </c>
      <c r="B4" s="3" t="n"/>
    </row>
    <row r="5">
      <c r="A5" t="inlineStr">
        <is>
          <t>Scale if 180-day ROI is at least</t>
        </is>
      </c>
      <c r="B5" s="4" t="n">
        <v>0.5</v>
      </c>
    </row>
    <row r="6">
      <c r="A6" t="inlineStr">
        <is>
          <t>Cut if ROI is below, with no 12-month payback</t>
        </is>
      </c>
      <c r="B6" s="4" t="n">
        <v>0</v>
      </c>
    </row>
    <row r="7">
      <c r="A7" t="inlineStr">
        <is>
          <t>Minimum sign-ups to judge a campaign</t>
        </is>
      </c>
      <c r="B7" s="5" t="n">
        <v>300</v>
      </c>
    </row>
    <row r="9">
      <c r="A9" s="3" t="inlineStr">
        <is>
          <t>Headline KPIs (measured window)</t>
        </is>
      </c>
      <c r="B9" s="3" t="n"/>
    </row>
    <row r="10">
      <c r="A10" t="inlineStr">
        <is>
          <t>Spend</t>
        </is>
      </c>
      <c r="B10" s="6">
        <f>Scorecard!D19</f>
        <v/>
      </c>
    </row>
    <row r="11">
      <c r="A11" t="inlineStr">
        <is>
          <t>Sign-ups</t>
        </is>
      </c>
      <c r="B11" s="7">
        <f>Scorecard!G19</f>
        <v/>
      </c>
    </row>
    <row r="12">
      <c r="A12" t="inlineStr">
        <is>
          <t>Customers within 180 days</t>
        </is>
      </c>
      <c r="B12" s="7">
        <f>Scorecard!I19</f>
        <v/>
      </c>
    </row>
    <row r="13">
      <c r="A13" t="inlineStr">
        <is>
          <t>Sign-up to customer conversion</t>
        </is>
      </c>
      <c r="B13" s="8">
        <f>Scorecard!T19</f>
        <v/>
      </c>
    </row>
    <row r="14">
      <c r="A14" t="inlineStr">
        <is>
          <t>Blended CAC</t>
        </is>
      </c>
      <c r="B14" s="9">
        <f>Scorecard!U19</f>
        <v/>
      </c>
    </row>
    <row r="15">
      <c r="A15" t="inlineStr">
        <is>
          <t>ROAS (180-day revenue ÷ spend)</t>
        </is>
      </c>
      <c r="B15" s="10">
        <f>Scorecard!W19</f>
        <v/>
      </c>
    </row>
    <row r="16">
      <c r="A16" t="inlineStr">
        <is>
          <t>ROI (180-day gross profit vs spend)</t>
        </is>
      </c>
      <c r="B16" s="11">
        <f>Scorecard!X19</f>
        <v/>
      </c>
    </row>
    <row r="19">
      <c r="A19" s="3" t="inlineStr">
        <is>
          <t>Campaigns</t>
        </is>
      </c>
      <c r="B19" s="3" t="n"/>
      <c r="C19" s="3" t="n"/>
      <c r="D19" s="3" t="n"/>
      <c r="E19" s="3" t="n"/>
      <c r="F19" s="3" t="n"/>
      <c r="G19" s="3" t="n"/>
    </row>
    <row r="20" ht="30" customHeight="1">
      <c r="A20" s="12" t="inlineStr">
        <is>
          <t>Campaign</t>
        </is>
      </c>
      <c r="B20" s="12" t="inlineStr">
        <is>
          <t>Channel</t>
        </is>
      </c>
      <c r="C20" s="12" t="inlineStr">
        <is>
          <t>Spend</t>
        </is>
      </c>
      <c r="D20" s="12" t="inlineStr">
        <is>
          <t>CAC</t>
        </is>
      </c>
      <c r="E20" s="12" t="inlineStr">
        <is>
          <t>ROI</t>
        </is>
      </c>
      <c r="F20" s="12" t="inlineStr">
        <is>
          <t>Pays back within (months)</t>
        </is>
      </c>
      <c r="G20" s="12" t="inlineStr">
        <is>
          <t>Action</t>
        </is>
      </c>
    </row>
    <row r="21">
      <c r="A21">
        <f>Scorecard!B6</f>
        <v/>
      </c>
      <c r="B21">
        <f>Scorecard!C6</f>
        <v/>
      </c>
      <c r="C21" s="13">
        <f>Scorecard!D6</f>
        <v/>
      </c>
      <c r="D21" s="14">
        <f>Scorecard!U6</f>
        <v/>
      </c>
      <c r="E21" s="15">
        <f>Scorecard!X6</f>
        <v/>
      </c>
      <c r="F21" s="16">
        <f>Scorecard!M6</f>
        <v/>
      </c>
      <c r="G21" s="17">
        <f>Scorecard!Z6</f>
        <v/>
      </c>
    </row>
    <row r="22">
      <c r="A22">
        <f>Scorecard!B7</f>
        <v/>
      </c>
      <c r="B22">
        <f>Scorecard!C7</f>
        <v/>
      </c>
      <c r="C22" s="13">
        <f>Scorecard!D7</f>
        <v/>
      </c>
      <c r="D22" s="14">
        <f>Scorecard!U7</f>
        <v/>
      </c>
      <c r="E22" s="15">
        <f>Scorecard!X7</f>
        <v/>
      </c>
      <c r="F22" s="16">
        <f>Scorecard!M7</f>
        <v/>
      </c>
      <c r="G22" s="17">
        <f>Scorecard!Z7</f>
        <v/>
      </c>
    </row>
    <row r="23">
      <c r="A23">
        <f>Scorecard!B8</f>
        <v/>
      </c>
      <c r="B23">
        <f>Scorecard!C8</f>
        <v/>
      </c>
      <c r="C23" s="13">
        <f>Scorecard!D8</f>
        <v/>
      </c>
      <c r="D23" s="14">
        <f>Scorecard!U8</f>
        <v/>
      </c>
      <c r="E23" s="15">
        <f>Scorecard!X8</f>
        <v/>
      </c>
      <c r="F23" s="16">
        <f>Scorecard!M8</f>
        <v/>
      </c>
      <c r="G23" s="17">
        <f>Scorecard!Z8</f>
        <v/>
      </c>
    </row>
    <row r="24">
      <c r="A24">
        <f>Scorecard!B9</f>
        <v/>
      </c>
      <c r="B24">
        <f>Scorecard!C9</f>
        <v/>
      </c>
      <c r="C24" s="13">
        <f>Scorecard!D9</f>
        <v/>
      </c>
      <c r="D24" s="14">
        <f>Scorecard!U9</f>
        <v/>
      </c>
      <c r="E24" s="15">
        <f>Scorecard!X9</f>
        <v/>
      </c>
      <c r="F24" s="16">
        <f>Scorecard!M9</f>
        <v/>
      </c>
      <c r="G24" s="17">
        <f>Scorecard!Z9</f>
        <v/>
      </c>
    </row>
    <row r="25">
      <c r="A25">
        <f>Scorecard!B10</f>
        <v/>
      </c>
      <c r="B25">
        <f>Scorecard!C10</f>
        <v/>
      </c>
      <c r="C25" s="13">
        <f>Scorecard!D10</f>
        <v/>
      </c>
      <c r="D25" s="14">
        <f>Scorecard!U10</f>
        <v/>
      </c>
      <c r="E25" s="15">
        <f>Scorecard!X10</f>
        <v/>
      </c>
      <c r="F25" s="16">
        <f>Scorecard!M10</f>
        <v/>
      </c>
      <c r="G25" s="17">
        <f>Scorecard!Z10</f>
        <v/>
      </c>
    </row>
    <row r="26">
      <c r="A26">
        <f>Scorecard!B11</f>
        <v/>
      </c>
      <c r="B26">
        <f>Scorecard!C11</f>
        <v/>
      </c>
      <c r="C26" s="13">
        <f>Scorecard!D11</f>
        <v/>
      </c>
      <c r="D26" s="14">
        <f>Scorecard!U11</f>
        <v/>
      </c>
      <c r="E26" s="15">
        <f>Scorecard!X11</f>
        <v/>
      </c>
      <c r="F26" s="16">
        <f>Scorecard!M11</f>
        <v/>
      </c>
      <c r="G26" s="17">
        <f>Scorecard!Z11</f>
        <v/>
      </c>
    </row>
    <row r="27">
      <c r="A27">
        <f>Scorecard!B12</f>
        <v/>
      </c>
      <c r="B27">
        <f>Scorecard!C12</f>
        <v/>
      </c>
      <c r="C27" s="13">
        <f>Scorecard!D12</f>
        <v/>
      </c>
      <c r="D27" s="14">
        <f>Scorecard!U12</f>
        <v/>
      </c>
      <c r="E27" s="15">
        <f>Scorecard!X12</f>
        <v/>
      </c>
      <c r="F27" s="16">
        <f>Scorecard!M12</f>
        <v/>
      </c>
      <c r="G27" s="17">
        <f>Scorecard!Z12</f>
        <v/>
      </c>
    </row>
    <row r="28">
      <c r="A28">
        <f>Scorecard!B13</f>
        <v/>
      </c>
      <c r="B28">
        <f>Scorecard!C13</f>
        <v/>
      </c>
      <c r="C28" s="13">
        <f>Scorecard!D13</f>
        <v/>
      </c>
      <c r="D28" s="14">
        <f>Scorecard!U13</f>
        <v/>
      </c>
      <c r="E28" s="15">
        <f>Scorecard!X13</f>
        <v/>
      </c>
      <c r="F28" s="16">
        <f>Scorecard!M13</f>
        <v/>
      </c>
      <c r="G28" s="17">
        <f>Scorecard!Z13</f>
        <v/>
      </c>
    </row>
    <row r="29">
      <c r="A29">
        <f>Scorecard!B14</f>
        <v/>
      </c>
      <c r="B29">
        <f>Scorecard!C14</f>
        <v/>
      </c>
      <c r="C29" s="13">
        <f>Scorecard!D14</f>
        <v/>
      </c>
      <c r="D29" s="14">
        <f>Scorecard!U14</f>
        <v/>
      </c>
      <c r="E29" s="15">
        <f>Scorecard!X14</f>
        <v/>
      </c>
      <c r="F29" s="16">
        <f>Scorecard!M14</f>
        <v/>
      </c>
      <c r="G29" s="17">
        <f>Scorecard!Z14</f>
        <v/>
      </c>
    </row>
    <row r="30">
      <c r="A30">
        <f>Scorecard!B15</f>
        <v/>
      </c>
      <c r="B30">
        <f>Scorecard!C15</f>
        <v/>
      </c>
      <c r="C30" s="13">
        <f>Scorecard!D15</f>
        <v/>
      </c>
      <c r="D30" s="14">
        <f>Scorecard!U15</f>
        <v/>
      </c>
      <c r="E30" s="15">
        <f>Scorecard!X15</f>
        <v/>
      </c>
      <c r="F30" s="16">
        <f>Scorecard!M15</f>
        <v/>
      </c>
      <c r="G30" s="17">
        <f>Scorecard!Z15</f>
        <v/>
      </c>
    </row>
    <row r="31">
      <c r="A31">
        <f>Scorecard!B16</f>
        <v/>
      </c>
      <c r="B31">
        <f>Scorecard!C16</f>
        <v/>
      </c>
      <c r="C31" s="13">
        <f>Scorecard!D16</f>
        <v/>
      </c>
      <c r="D31" s="14">
        <f>Scorecard!U16</f>
        <v/>
      </c>
      <c r="E31" s="15">
        <f>Scorecard!X16</f>
        <v/>
      </c>
      <c r="F31" s="16">
        <f>Scorecard!M16</f>
        <v/>
      </c>
      <c r="G31" s="17">
        <f>Scorecard!Z16</f>
        <v/>
      </c>
    </row>
    <row r="32">
      <c r="A32">
        <f>Scorecard!B17</f>
        <v/>
      </c>
      <c r="B32">
        <f>Scorecard!C17</f>
        <v/>
      </c>
      <c r="C32" s="13">
        <f>Scorecard!D17</f>
        <v/>
      </c>
      <c r="D32" s="14">
        <f>Scorecard!U17</f>
        <v/>
      </c>
      <c r="E32" s="15">
        <f>Scorecard!X17</f>
        <v/>
      </c>
      <c r="F32" s="16">
        <f>Scorecard!M17</f>
        <v/>
      </c>
      <c r="G32" s="17">
        <f>Scorecard!Z17</f>
        <v/>
      </c>
    </row>
    <row r="33">
      <c r="A33">
        <f>Scorecard!B18</f>
        <v/>
      </c>
      <c r="B33">
        <f>Scorecard!C18</f>
        <v/>
      </c>
      <c r="C33" s="13">
        <f>Scorecard!D18</f>
        <v/>
      </c>
      <c r="D33" s="14">
        <f>Scorecard!U18</f>
        <v/>
      </c>
      <c r="E33" s="15">
        <f>Scorecard!X18</f>
        <v/>
      </c>
      <c r="F33" s="16">
        <f>Scorecard!M18</f>
        <v/>
      </c>
      <c r="G33" s="17">
        <f>Scorecard!Z18</f>
        <v/>
      </c>
    </row>
    <row r="35">
      <c r="A35" s="3" t="inlineStr">
        <is>
          <t>Key findings and recommendation</t>
        </is>
      </c>
      <c r="B35" s="3" t="n"/>
      <c r="C35" s="3" t="n"/>
      <c r="D35" s="3" t="n"/>
      <c r="E35" s="3" t="n"/>
      <c r="F35" s="3" t="n"/>
      <c r="G35" s="3" t="n"/>
    </row>
    <row r="36" ht="27" customHeight="1">
      <c r="A36" s="18" t="inlineStr">
        <is>
          <t>• Sign-ups from Jan 1, 2024 to Jul 5, 2025: $896K of spend brought 21,057 customers within 180 days at a blended CAC of $43, for a +1% ROI on 180-day gross profit (2.54x ROAS).</t>
        </is>
      </c>
    </row>
    <row r="37" ht="13.5" customHeight="1">
      <c r="A37" s="18" t="inlineStr">
        <is>
          <t>• Search - Brand is the strongest campaign (+264% ROI at a $20 CAC); Display - Programmatic is the weakest (-86% ROI at a $180 CAC).</t>
        </is>
      </c>
    </row>
    <row r="38" ht="13.5" customHeight="1">
      <c r="A38" s="18" t="inlineStr">
        <is>
          <t>• The largest budget line, Social - Lookalike Prospecting (23% of measured spend), returns -68% at 180 days.</t>
        </is>
      </c>
    </row>
    <row r="39" ht="13.5" customHeight="1">
      <c r="A39" s="18" t="inlineStr">
        <is>
          <t>• Affiliate and Referral pay back fastest (within 60 days); Display and Paid Social do not pay back within 12 months.</t>
        </is>
      </c>
    </row>
    <row r="40" ht="27" customHeight="1">
      <c r="A40" s="18" t="inlineStr">
        <is>
          <t>• 30-day conversion fell from 25.1% for the first six cohorts (Jan 2024–Jun 2024) to 23.5% for the latest six (Jun 2025–Nov 2025). Paid Social explains most of the change: its share of sign-ups went from 33% to 40% and its 30-day conversion from 17.2% to 16.4%.</t>
        </is>
      </c>
    </row>
    <row r="41" ht="27" customHeight="1">
      <c r="A41" s="18" t="inlineStr">
        <is>
          <t>• Social - Short Video Test started on Sep 1, 2025, so it's too new to judge. Its first sign-ups reach 180 days of history on Feb 27, 2026.</t>
        </is>
      </c>
    </row>
    <row r="42" ht="40.5" customHeight="1">
      <c r="A42" s="18" t="inlineStr">
        <is>
          <t>• Recommendation: halve the 4 campaigns marked 'Cut or rework' and grow the 4 marked 'Scale' by 50%. If CAC holds, annual spend changes by -$74K and 180-day gross profit after spend improves by $207K a year. Test the increases in steps, because CAC usually rises as campaigns scale.</t>
        </is>
      </c>
    </row>
    <row r="44">
      <c r="A44" s="2" t="inlineStr">
        <is>
          <t>Findings are written by Python for this run; the tables above update when you change the decision rules.</t>
        </is>
      </c>
    </row>
  </sheetData>
  <mergeCells count="7">
    <mergeCell ref="A36:G36"/>
    <mergeCell ref="A40:G40"/>
    <mergeCell ref="A39:G39"/>
    <mergeCell ref="A38:G38"/>
    <mergeCell ref="A41:G41"/>
    <mergeCell ref="A42:G42"/>
    <mergeCell ref="A37:G37"/>
  </mergeCells>
  <conditionalFormatting sqref="B16">
    <cfRule type="expression" priority="1" dxfId="0">
      <formula>AND(ISNUMBER(B16),B16&gt;=ScaleROI)</formula>
    </cfRule>
    <cfRule type="expression" priority="2" dxfId="1">
      <formula>AND(ISNUMBER(B16),B16&lt;CutROI)</formula>
    </cfRule>
    <cfRule type="expression" priority="3" dxfId="2">
      <formula>AND(ISNUMBER(B16),B16&gt;=CutROI,B16&lt;ScaleROI)</formula>
    </cfRule>
  </conditionalFormatting>
  <conditionalFormatting sqref="E21:E33">
    <cfRule type="expression" priority="4" dxfId="0">
      <formula>AND(ISNUMBER(E21),E21&gt;=ScaleROI)</formula>
    </cfRule>
    <cfRule type="expression" priority="5" dxfId="1">
      <formula>AND(ISNUMBER(E21),E21&lt;CutROI)</formula>
    </cfRule>
    <cfRule type="expression" priority="6" dxfId="2">
      <formula>AND(ISNUMBER(E21),E21&gt;=CutROI,E21&lt;ScaleROI)</formula>
    </cfRule>
  </conditionalFormatting>
  <conditionalFormatting sqref="G21:G33">
    <cfRule type="expression" priority="7" dxfId="3">
      <formula>G21="Scale"</formula>
    </cfRule>
    <cfRule type="expression" priority="8" dxfId="4">
      <formula>G21="Cut or rework"</formula>
    </cfRule>
    <cfRule type="expression" priority="9" dxfId="5">
      <formula>G21="Optimize"</formula>
    </cfRule>
  </conditionalFormatting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8" customWidth="1" min="26" max="26"/>
  </cols>
  <sheetData>
    <row r="1">
      <c r="A1" s="1" t="inlineStr">
        <is>
          <t>Campaign scorecard</t>
        </is>
      </c>
    </row>
    <row r="2">
      <c r="A2" s="2" t="inlineStr">
        <is>
          <t>Sign-ups (and the spend that bought them) from Jan 1, 2024 to Jul 5, 2025, with every outcome counted within 180 days of sign-up.</t>
        </is>
      </c>
    </row>
    <row r="4">
      <c r="A4" s="19" t="inlineStr">
        <is>
          <t>From SQL</t>
        </is>
      </c>
      <c r="O4" s="20" t="inlineStr">
        <is>
          <t>Calculated in Excel</t>
        </is>
      </c>
    </row>
    <row r="5" ht="42" customHeight="1">
      <c r="A5" s="12" t="inlineStr">
        <is>
          <t>Campaign ID</t>
        </is>
      </c>
      <c r="B5" s="12" t="inlineStr">
        <is>
          <t>Campaign</t>
        </is>
      </c>
      <c r="C5" s="12" t="inlineStr">
        <is>
          <t>Channel</t>
        </is>
      </c>
      <c r="D5" s="12" t="inlineStr">
        <is>
          <t>Spend</t>
        </is>
      </c>
      <c r="E5" s="12" t="inlineStr">
        <is>
          <t>Impressions</t>
        </is>
      </c>
      <c r="F5" s="12" t="inlineStr">
        <is>
          <t>Clicks</t>
        </is>
      </c>
      <c r="G5" s="12" t="inlineStr">
        <is>
          <t>Sign-ups</t>
        </is>
      </c>
      <c r="H5" s="12" t="inlineStr">
        <is>
          <t>Customers in 7 days</t>
        </is>
      </c>
      <c r="I5" s="12" t="inlineStr">
        <is>
          <t>Customers in 180 days</t>
        </is>
      </c>
      <c r="J5" s="12" t="inlineStr">
        <is>
          <t>Orders in 180 days</t>
        </is>
      </c>
      <c r="K5" s="12" t="inlineStr">
        <is>
          <t>Revenue in 180 days</t>
        </is>
      </c>
      <c r="L5" s="12" t="inlineStr">
        <is>
          <t>Gross profit in 180 days</t>
        </is>
      </c>
      <c r="M5" s="12" t="inlineStr">
        <is>
          <t>Pays back within (months)</t>
        </is>
      </c>
      <c r="N5" s="12" t="inlineStr">
        <is>
          <t>Spend, last 12 months (live campaigns)</t>
        </is>
      </c>
      <c r="O5" s="21" t="inlineStr">
        <is>
          <t>CTR</t>
        </is>
      </c>
      <c r="P5" s="21" t="inlineStr">
        <is>
          <t>CPC</t>
        </is>
      </c>
      <c r="Q5" s="21" t="inlineStr">
        <is>
          <t>Sign-up rate</t>
        </is>
      </c>
      <c r="R5" s="21" t="inlineStr">
        <is>
          <t>Cost per sign-up</t>
        </is>
      </c>
      <c r="S5" s="21" t="inlineStr">
        <is>
          <t>7-day conversion</t>
        </is>
      </c>
      <c r="T5" s="21" t="inlineStr">
        <is>
          <t>180-day conversion</t>
        </is>
      </c>
      <c r="U5" s="21" t="inlineStr">
        <is>
          <t>CAC</t>
        </is>
      </c>
      <c r="V5" s="21" t="inlineStr">
        <is>
          <t>Gross profit per customer</t>
        </is>
      </c>
      <c r="W5" s="21" t="inlineStr">
        <is>
          <t>ROAS</t>
        </is>
      </c>
      <c r="X5" s="21" t="inlineStr">
        <is>
          <t>ROI</t>
        </is>
      </c>
      <c r="Y5" s="21" t="inlineStr">
        <is>
          <t>LTV:CAC</t>
        </is>
      </c>
      <c r="Z5" s="21" t="inlineStr">
        <is>
          <t>Action</t>
        </is>
      </c>
    </row>
    <row r="6">
      <c r="A6" t="inlineStr">
        <is>
          <t>C01</t>
        </is>
      </c>
      <c r="B6" t="inlineStr">
        <is>
          <t>Search - Brand</t>
        </is>
      </c>
      <c r="C6" t="inlineStr">
        <is>
          <t>Paid Search</t>
        </is>
      </c>
      <c r="D6" s="22" t="n">
        <v>47617.63999999999</v>
      </c>
      <c r="E6" s="23" t="n">
        <v>427582</v>
      </c>
      <c r="F6" s="23" t="n">
        <v>33791</v>
      </c>
      <c r="G6" s="23" t="n">
        <v>6122</v>
      </c>
      <c r="H6" s="23" t="n">
        <v>1618</v>
      </c>
      <c r="I6" s="23" t="n">
        <v>2328</v>
      </c>
      <c r="J6" s="23" t="n">
        <v>5186</v>
      </c>
      <c r="K6" s="22" t="n">
        <v>367848.3700000005</v>
      </c>
      <c r="L6" s="22" t="n">
        <v>173564.5899999997</v>
      </c>
      <c r="M6" s="16" t="n">
        <v>1</v>
      </c>
      <c r="N6" s="22" t="n">
        <v>33707.02</v>
      </c>
      <c r="O6" s="24">
        <f>IF(E6=0,"",F6/E6)</f>
        <v/>
      </c>
      <c r="P6" s="25">
        <f>IF(F6=0,"",D6/F6)</f>
        <v/>
      </c>
      <c r="Q6" s="26">
        <f>IF(F6=0,"",G6/F6)</f>
        <v/>
      </c>
      <c r="R6" s="25">
        <f>IF(G6=0,"",D6/G6)</f>
        <v/>
      </c>
      <c r="S6" s="26">
        <f>IF(G6=0,"",H6/G6)</f>
        <v/>
      </c>
      <c r="T6" s="26">
        <f>IF(G6=0,"",I6/G6)</f>
        <v/>
      </c>
      <c r="U6" s="25">
        <f>IF(I6=0,"",D6/I6)</f>
        <v/>
      </c>
      <c r="V6" s="25">
        <f>IF(I6=0,"",L6/I6)</f>
        <v/>
      </c>
      <c r="W6" s="27">
        <f>IF(D6=0,"",K6/D6)</f>
        <v/>
      </c>
      <c r="X6" s="28">
        <f>IF(D6=0,"",(L6-D6)/D6)</f>
        <v/>
      </c>
      <c r="Y6" s="27">
        <f>IF(OR(U6="",V6=""),"",V6/U6)</f>
        <v/>
      </c>
      <c r="Z6">
        <f>IF(OR(G6&lt;MinSignups,X6=""),"Too early to judge",IF(X6&gt;=ScaleROI,"Scale",IF(OR(X6&gt;=CutROI,ISNUMBER(M6)),"Optimize","Cut or rework")))</f>
        <v/>
      </c>
    </row>
    <row r="7">
      <c r="A7" t="inlineStr">
        <is>
          <t>C09</t>
        </is>
      </c>
      <c r="B7" t="inlineStr">
        <is>
          <t>Affiliate - Content Partners</t>
        </is>
      </c>
      <c r="C7" t="inlineStr">
        <is>
          <t>Affiliate</t>
        </is>
      </c>
      <c r="D7" s="22" t="n">
        <v>45356.00999999997</v>
      </c>
      <c r="E7" s="23" t="n">
        <v>2287212</v>
      </c>
      <c r="F7" s="23" t="n">
        <v>45533</v>
      </c>
      <c r="G7" s="23" t="n">
        <v>5369</v>
      </c>
      <c r="H7" s="23" t="n">
        <v>857</v>
      </c>
      <c r="I7" s="23" t="n">
        <v>1620</v>
      </c>
      <c r="J7" s="23" t="n">
        <v>3235</v>
      </c>
      <c r="K7" s="22" t="n">
        <v>234282.0299999998</v>
      </c>
      <c r="L7" s="22" t="n">
        <v>109144.9800000001</v>
      </c>
      <c r="M7" s="16" t="n">
        <v>1</v>
      </c>
      <c r="N7" s="22" t="n">
        <v>35655.50999999999</v>
      </c>
      <c r="O7" s="24">
        <f>IF(E7=0,"",F7/E7)</f>
        <v/>
      </c>
      <c r="P7" s="25">
        <f>IF(F7=0,"",D7/F7)</f>
        <v/>
      </c>
      <c r="Q7" s="26">
        <f>IF(F7=0,"",G7/F7)</f>
        <v/>
      </c>
      <c r="R7" s="25">
        <f>IF(G7=0,"",D7/G7)</f>
        <v/>
      </c>
      <c r="S7" s="26">
        <f>IF(G7=0,"",H7/G7)</f>
        <v/>
      </c>
      <c r="T7" s="26">
        <f>IF(G7=0,"",I7/G7)</f>
        <v/>
      </c>
      <c r="U7" s="25">
        <f>IF(I7=0,"",D7/I7)</f>
        <v/>
      </c>
      <c r="V7" s="25">
        <f>IF(I7=0,"",L7/I7)</f>
        <v/>
      </c>
      <c r="W7" s="27">
        <f>IF(D7=0,"",K7/D7)</f>
        <v/>
      </c>
      <c r="X7" s="28">
        <f>IF(D7=0,"",(L7-D7)/D7)</f>
        <v/>
      </c>
      <c r="Y7" s="27">
        <f>IF(OR(U7="",V7=""),"",V7/U7)</f>
        <v/>
      </c>
      <c r="Z7">
        <f>IF(OR(G7&lt;MinSignups,X7=""),"Too early to judge",IF(X7&gt;=ScaleROI,"Scale",IF(OR(X7&gt;=CutROI,ISNUMBER(M7)),"Optimize","Cut or rework")))</f>
        <v/>
      </c>
    </row>
    <row r="8">
      <c r="A8" t="inlineStr">
        <is>
          <t>C05</t>
        </is>
      </c>
      <c r="B8" t="inlineStr">
        <is>
          <t>Social - Retargeting</t>
        </is>
      </c>
      <c r="C8" t="inlineStr">
        <is>
          <t>Paid Social</t>
        </is>
      </c>
      <c r="D8" s="22" t="n">
        <v>58224.22999999997</v>
      </c>
      <c r="E8" s="23" t="n">
        <v>3589056</v>
      </c>
      <c r="F8" s="23" t="n">
        <v>53184</v>
      </c>
      <c r="G8" s="23" t="n">
        <v>7442</v>
      </c>
      <c r="H8" s="23" t="n">
        <v>1525</v>
      </c>
      <c r="I8" s="23" t="n">
        <v>2345</v>
      </c>
      <c r="J8" s="23" t="n">
        <v>4524</v>
      </c>
      <c r="K8" s="22" t="n">
        <v>298477.2699999998</v>
      </c>
      <c r="L8" s="22" t="n">
        <v>131634.6899999999</v>
      </c>
      <c r="M8" s="16" t="n">
        <v>1</v>
      </c>
      <c r="N8" s="22" t="n">
        <v>41836.28999999999</v>
      </c>
      <c r="O8" s="24">
        <f>IF(E8=0,"",F8/E8)</f>
        <v/>
      </c>
      <c r="P8" s="25">
        <f>IF(F8=0,"",D8/F8)</f>
        <v/>
      </c>
      <c r="Q8" s="26">
        <f>IF(F8=0,"",G8/F8)</f>
        <v/>
      </c>
      <c r="R8" s="25">
        <f>IF(G8=0,"",D8/G8)</f>
        <v/>
      </c>
      <c r="S8" s="26">
        <f>IF(G8=0,"",H8/G8)</f>
        <v/>
      </c>
      <c r="T8" s="26">
        <f>IF(G8=0,"",I8/G8)</f>
        <v/>
      </c>
      <c r="U8" s="25">
        <f>IF(I8=0,"",D8/I8)</f>
        <v/>
      </c>
      <c r="V8" s="25">
        <f>IF(I8=0,"",L8/I8)</f>
        <v/>
      </c>
      <c r="W8" s="27">
        <f>IF(D8=0,"",K8/D8)</f>
        <v/>
      </c>
      <c r="X8" s="28">
        <f>IF(D8=0,"",(L8-D8)/D8)</f>
        <v/>
      </c>
      <c r="Y8" s="27">
        <f>IF(OR(U8="",V8=""),"",V8/U8)</f>
        <v/>
      </c>
      <c r="Z8">
        <f>IF(OR(G8&lt;MinSignups,X8=""),"Too early to judge",IF(X8&gt;=ScaleROI,"Scale",IF(OR(X8&gt;=CutROI,ISNUMBER(M8)),"Optimize","Cut or rework")))</f>
        <v/>
      </c>
    </row>
    <row r="9">
      <c r="A9" t="inlineStr">
        <is>
          <t>C11</t>
        </is>
      </c>
      <c r="B9" t="inlineStr">
        <is>
          <t>Referral - Give $20 Get $20</t>
        </is>
      </c>
      <c r="C9" t="inlineStr">
        <is>
          <t>Referral</t>
        </is>
      </c>
      <c r="D9" s="22" t="n">
        <v>42938.33000000002</v>
      </c>
      <c r="E9" s="23" t="n">
        <v>143186</v>
      </c>
      <c r="F9" s="23" t="n">
        <v>14287</v>
      </c>
      <c r="G9" s="23" t="n">
        <v>3529</v>
      </c>
      <c r="H9" s="23" t="n">
        <v>808</v>
      </c>
      <c r="I9" s="23" t="n">
        <v>1061</v>
      </c>
      <c r="J9" s="23" t="n">
        <v>2497</v>
      </c>
      <c r="K9" s="22" t="n">
        <v>172636.2400000002</v>
      </c>
      <c r="L9" s="22" t="n">
        <v>78048.32999999987</v>
      </c>
      <c r="M9" s="16" t="n">
        <v>2</v>
      </c>
      <c r="N9" s="22" t="n">
        <v>30887.56999999999</v>
      </c>
      <c r="O9" s="24">
        <f>IF(E9=0,"",F9/E9)</f>
        <v/>
      </c>
      <c r="P9" s="25">
        <f>IF(F9=0,"",D9/F9)</f>
        <v/>
      </c>
      <c r="Q9" s="26">
        <f>IF(F9=0,"",G9/F9)</f>
        <v/>
      </c>
      <c r="R9" s="25">
        <f>IF(G9=0,"",D9/G9)</f>
        <v/>
      </c>
      <c r="S9" s="26">
        <f>IF(G9=0,"",H9/G9)</f>
        <v/>
      </c>
      <c r="T9" s="26">
        <f>IF(G9=0,"",I9/G9)</f>
        <v/>
      </c>
      <c r="U9" s="25">
        <f>IF(I9=0,"",D9/I9)</f>
        <v/>
      </c>
      <c r="V9" s="25">
        <f>IF(I9=0,"",L9/I9)</f>
        <v/>
      </c>
      <c r="W9" s="27">
        <f>IF(D9=0,"",K9/D9)</f>
        <v/>
      </c>
      <c r="X9" s="28">
        <f>IF(D9=0,"",(L9-D9)/D9)</f>
        <v/>
      </c>
      <c r="Y9" s="27">
        <f>IF(OR(U9="",V9=""),"",V9/U9)</f>
        <v/>
      </c>
      <c r="Z9">
        <f>IF(OR(G9&lt;MinSignups,X9=""),"Too early to judge",IF(X9&gt;=ScaleROI,"Scale",IF(OR(X9&gt;=CutROI,ISNUMBER(M9)),"Optimize","Cut or rework")))</f>
        <v/>
      </c>
    </row>
    <row r="10">
      <c r="A10" t="inlineStr">
        <is>
          <t>C10</t>
        </is>
      </c>
      <c r="B10" t="inlineStr">
        <is>
          <t>Email - Partner Newsletters</t>
        </is>
      </c>
      <c r="C10" t="inlineStr">
        <is>
          <t>Email</t>
        </is>
      </c>
      <c r="D10" s="22" t="n">
        <v>31833.21000000001</v>
      </c>
      <c r="E10" s="23" t="n">
        <v>1186309</v>
      </c>
      <c r="F10" s="23" t="n">
        <v>35451</v>
      </c>
      <c r="G10" s="23" t="n">
        <v>3588</v>
      </c>
      <c r="H10" s="23" t="n">
        <v>517</v>
      </c>
      <c r="I10" s="23" t="n">
        <v>859</v>
      </c>
      <c r="J10" s="23" t="n">
        <v>1486</v>
      </c>
      <c r="K10" s="22" t="n">
        <v>91612.67</v>
      </c>
      <c r="L10" s="22" t="n">
        <v>39874.85000000001</v>
      </c>
      <c r="M10" s="16" t="n">
        <v>3</v>
      </c>
      <c r="N10" s="22" t="n">
        <v>22843.89000000001</v>
      </c>
      <c r="O10" s="24">
        <f>IF(E10=0,"",F10/E10)</f>
        <v/>
      </c>
      <c r="P10" s="25">
        <f>IF(F10=0,"",D10/F10)</f>
        <v/>
      </c>
      <c r="Q10" s="26">
        <f>IF(F10=0,"",G10/F10)</f>
        <v/>
      </c>
      <c r="R10" s="25">
        <f>IF(G10=0,"",D10/G10)</f>
        <v/>
      </c>
      <c r="S10" s="26">
        <f>IF(G10=0,"",H10/G10)</f>
        <v/>
      </c>
      <c r="T10" s="26">
        <f>IF(G10=0,"",I10/G10)</f>
        <v/>
      </c>
      <c r="U10" s="25">
        <f>IF(I10=0,"",D10/I10)</f>
        <v/>
      </c>
      <c r="V10" s="25">
        <f>IF(I10=0,"",L10/I10)</f>
        <v/>
      </c>
      <c r="W10" s="27">
        <f>IF(D10=0,"",K10/D10)</f>
        <v/>
      </c>
      <c r="X10" s="28">
        <f>IF(D10=0,"",(L10-D10)/D10)</f>
        <v/>
      </c>
      <c r="Y10" s="27">
        <f>IF(OR(U10="",V10=""),"",V10/U10)</f>
        <v/>
      </c>
      <c r="Z10">
        <f>IF(OR(G10&lt;MinSignups,X10=""),"Too early to judge",IF(X10&gt;=ScaleROI,"Scale",IF(OR(X10&gt;=CutROI,ISNUMBER(M10)),"Optimize","Cut or rework")))</f>
        <v/>
      </c>
    </row>
    <row r="11">
      <c r="A11" t="inlineStr">
        <is>
          <t>C08</t>
        </is>
      </c>
      <c r="B11" t="inlineStr">
        <is>
          <t>Affiliate - Coupon Sites</t>
        </is>
      </c>
      <c r="C11" t="inlineStr">
        <is>
          <t>Affiliate</t>
        </is>
      </c>
      <c r="D11" s="22" t="n">
        <v>64310.11</v>
      </c>
      <c r="E11" s="23" t="n">
        <v>4670973</v>
      </c>
      <c r="F11" s="23" t="n">
        <v>92160</v>
      </c>
      <c r="G11" s="23" t="n">
        <v>13862</v>
      </c>
      <c r="H11" s="23" t="n">
        <v>4665</v>
      </c>
      <c r="I11" s="23" t="n">
        <v>5630</v>
      </c>
      <c r="J11" s="23" t="n">
        <v>8592</v>
      </c>
      <c r="K11" s="22" t="n">
        <v>388066.3199999996</v>
      </c>
      <c r="L11" s="22" t="n">
        <v>74907.31999999986</v>
      </c>
      <c r="M11" s="16" t="n">
        <v>4</v>
      </c>
      <c r="N11" s="22" t="n">
        <v>46031.81</v>
      </c>
      <c r="O11" s="24">
        <f>IF(E11=0,"",F11/E11)</f>
        <v/>
      </c>
      <c r="P11" s="25">
        <f>IF(F11=0,"",D11/F11)</f>
        <v/>
      </c>
      <c r="Q11" s="26">
        <f>IF(F11=0,"",G11/F11)</f>
        <v/>
      </c>
      <c r="R11" s="25">
        <f>IF(G11=0,"",D11/G11)</f>
        <v/>
      </c>
      <c r="S11" s="26">
        <f>IF(G11=0,"",H11/G11)</f>
        <v/>
      </c>
      <c r="T11" s="26">
        <f>IF(G11=0,"",I11/G11)</f>
        <v/>
      </c>
      <c r="U11" s="25">
        <f>IF(I11=0,"",D11/I11)</f>
        <v/>
      </c>
      <c r="V11" s="25">
        <f>IF(I11=0,"",L11/I11)</f>
        <v/>
      </c>
      <c r="W11" s="27">
        <f>IF(D11=0,"",K11/D11)</f>
        <v/>
      </c>
      <c r="X11" s="28">
        <f>IF(D11=0,"",(L11-D11)/D11)</f>
        <v/>
      </c>
      <c r="Y11" s="27">
        <f>IF(OR(U11="",V11=""),"",V11/U11)</f>
        <v/>
      </c>
      <c r="Z11">
        <f>IF(OR(G11&lt;MinSignups,X11=""),"Too early to judge",IF(X11&gt;=ScaleROI,"Scale",IF(OR(X11&gt;=CutROI,ISNUMBER(M11)),"Optimize","Cut or rework")))</f>
        <v/>
      </c>
    </row>
    <row r="12">
      <c r="A12" t="inlineStr">
        <is>
          <t>C12</t>
        </is>
      </c>
      <c r="B12" t="inlineStr">
        <is>
          <t>Video - Product Demos</t>
        </is>
      </c>
      <c r="C12" t="inlineStr">
        <is>
          <t>Video</t>
        </is>
      </c>
      <c r="D12" s="22" t="n">
        <v>58552.13000000001</v>
      </c>
      <c r="E12" s="23" t="n">
        <v>8148970</v>
      </c>
      <c r="F12" s="23" t="n">
        <v>65053</v>
      </c>
      <c r="G12" s="23" t="n">
        <v>5206</v>
      </c>
      <c r="H12" s="23" t="n">
        <v>383</v>
      </c>
      <c r="I12" s="23" t="n">
        <v>1042</v>
      </c>
      <c r="J12" s="23" t="n">
        <v>1760</v>
      </c>
      <c r="K12" s="22" t="n">
        <v>136162.2000000001</v>
      </c>
      <c r="L12" s="22" t="n">
        <v>58837.60000000002</v>
      </c>
      <c r="M12" s="16" t="n">
        <v>6</v>
      </c>
      <c r="N12" s="22" t="n">
        <v>56732.31999999996</v>
      </c>
      <c r="O12" s="24">
        <f>IF(E12=0,"",F12/E12)</f>
        <v/>
      </c>
      <c r="P12" s="25">
        <f>IF(F12=0,"",D12/F12)</f>
        <v/>
      </c>
      <c r="Q12" s="26">
        <f>IF(F12=0,"",G12/F12)</f>
        <v/>
      </c>
      <c r="R12" s="25">
        <f>IF(G12=0,"",D12/G12)</f>
        <v/>
      </c>
      <c r="S12" s="26">
        <f>IF(G12=0,"",H12/G12)</f>
        <v/>
      </c>
      <c r="T12" s="26">
        <f>IF(G12=0,"",I12/G12)</f>
        <v/>
      </c>
      <c r="U12" s="25">
        <f>IF(I12=0,"",D12/I12)</f>
        <v/>
      </c>
      <c r="V12" s="25">
        <f>IF(I12=0,"",L12/I12)</f>
        <v/>
      </c>
      <c r="W12" s="27">
        <f>IF(D12=0,"",K12/D12)</f>
        <v/>
      </c>
      <c r="X12" s="28">
        <f>IF(D12=0,"",(L12-D12)/D12)</f>
        <v/>
      </c>
      <c r="Y12" s="27">
        <f>IF(OR(U12="",V12=""),"",V12/U12)</f>
        <v/>
      </c>
      <c r="Z12">
        <f>IF(OR(G12&lt;MinSignups,X12=""),"Too early to judge",IF(X12&gt;=ScaleROI,"Scale",IF(OR(X12&gt;=CutROI,ISNUMBER(M12)),"Optimize","Cut or rework")))</f>
        <v/>
      </c>
    </row>
    <row r="13">
      <c r="A13" t="inlineStr">
        <is>
          <t>C02</t>
        </is>
      </c>
      <c r="B13" t="inlineStr">
        <is>
          <t>Search - Generic</t>
        </is>
      </c>
      <c r="C13" t="inlineStr">
        <is>
          <t>Paid Search</t>
        </is>
      </c>
      <c r="D13" s="22" t="n">
        <v>137682.7799999998</v>
      </c>
      <c r="E13" s="23" t="n">
        <v>1923295</v>
      </c>
      <c r="F13" s="23" t="n">
        <v>76181</v>
      </c>
      <c r="G13" s="23" t="n">
        <v>9163</v>
      </c>
      <c r="H13" s="23" t="n">
        <v>1104</v>
      </c>
      <c r="I13" s="23" t="n">
        <v>2527</v>
      </c>
      <c r="J13" s="23" t="n">
        <v>4485</v>
      </c>
      <c r="K13" s="22" t="n">
        <v>286196.6900000004</v>
      </c>
      <c r="L13" s="22" t="n">
        <v>124717.5700000001</v>
      </c>
      <c r="M13" s="16" t="n">
        <v>11</v>
      </c>
      <c r="N13" s="22" t="n">
        <v>98417.17999999998</v>
      </c>
      <c r="O13" s="24">
        <f>IF(E13=0,"",F13/E13)</f>
        <v/>
      </c>
      <c r="P13" s="25">
        <f>IF(F13=0,"",D13/F13)</f>
        <v/>
      </c>
      <c r="Q13" s="26">
        <f>IF(F13=0,"",G13/F13)</f>
        <v/>
      </c>
      <c r="R13" s="25">
        <f>IF(G13=0,"",D13/G13)</f>
        <v/>
      </c>
      <c r="S13" s="26">
        <f>IF(G13=0,"",H13/G13)</f>
        <v/>
      </c>
      <c r="T13" s="26">
        <f>IF(G13=0,"",I13/G13)</f>
        <v/>
      </c>
      <c r="U13" s="25">
        <f>IF(I13=0,"",D13/I13)</f>
        <v/>
      </c>
      <c r="V13" s="25">
        <f>IF(I13=0,"",L13/I13)</f>
        <v/>
      </c>
      <c r="W13" s="27">
        <f>IF(D13=0,"",K13/D13)</f>
        <v/>
      </c>
      <c r="X13" s="28">
        <f>IF(D13=0,"",(L13-D13)/D13)</f>
        <v/>
      </c>
      <c r="Y13" s="27">
        <f>IF(OR(U13="",V13=""),"",V13/U13)</f>
        <v/>
      </c>
      <c r="Z13">
        <f>IF(OR(G13&lt;MinSignups,X13=""),"Too early to judge",IF(X13&gt;=ScaleROI,"Scale",IF(OR(X13&gt;=CutROI,ISNUMBER(M13)),"Optimize","Cut or rework")))</f>
        <v/>
      </c>
    </row>
    <row r="14">
      <c r="A14" t="inlineStr">
        <is>
          <t>C06</t>
        </is>
      </c>
      <c r="B14" t="inlineStr">
        <is>
          <t>Social - Influencer Holiday</t>
        </is>
      </c>
      <c r="C14" t="inlineStr">
        <is>
          <t>Paid Social</t>
        </is>
      </c>
      <c r="D14" s="22" t="n">
        <v>61065.57999999999</v>
      </c>
      <c r="E14" s="23" t="n">
        <v>3890117</v>
      </c>
      <c r="F14" s="23" t="n">
        <v>38248</v>
      </c>
      <c r="G14" s="23" t="n">
        <v>3846</v>
      </c>
      <c r="H14" s="23" t="n">
        <v>397</v>
      </c>
      <c r="I14" s="23" t="n">
        <v>774</v>
      </c>
      <c r="J14" s="23" t="n">
        <v>1153</v>
      </c>
      <c r="K14" s="22" t="n">
        <v>82421.75999999998</v>
      </c>
      <c r="L14" s="22" t="n">
        <v>31732.05</v>
      </c>
      <c r="M14" s="16" t="inlineStr">
        <is>
          <t>Not yet</t>
        </is>
      </c>
      <c r="N14" s="22" t="n">
        <v>64435.94000000002</v>
      </c>
      <c r="O14" s="24">
        <f>IF(E14=0,"",F14/E14)</f>
        <v/>
      </c>
      <c r="P14" s="25">
        <f>IF(F14=0,"",D14/F14)</f>
        <v/>
      </c>
      <c r="Q14" s="26">
        <f>IF(F14=0,"",G14/F14)</f>
        <v/>
      </c>
      <c r="R14" s="25">
        <f>IF(G14=0,"",D14/G14)</f>
        <v/>
      </c>
      <c r="S14" s="26">
        <f>IF(G14=0,"",H14/G14)</f>
        <v/>
      </c>
      <c r="T14" s="26">
        <f>IF(G14=0,"",I14/G14)</f>
        <v/>
      </c>
      <c r="U14" s="25">
        <f>IF(I14=0,"",D14/I14)</f>
        <v/>
      </c>
      <c r="V14" s="25">
        <f>IF(I14=0,"",L14/I14)</f>
        <v/>
      </c>
      <c r="W14" s="27">
        <f>IF(D14=0,"",K14/D14)</f>
        <v/>
      </c>
      <c r="X14" s="28">
        <f>IF(D14=0,"",(L14-D14)/D14)</f>
        <v/>
      </c>
      <c r="Y14" s="27">
        <f>IF(OR(U14="",V14=""),"",V14/U14)</f>
        <v/>
      </c>
      <c r="Z14">
        <f>IF(OR(G14&lt;MinSignups,X14=""),"Too early to judge",IF(X14&gt;=ScaleROI,"Scale",IF(OR(X14&gt;=CutROI,ISNUMBER(M14)),"Optimize","Cut or rework")))</f>
        <v/>
      </c>
    </row>
    <row r="15">
      <c r="A15" t="inlineStr">
        <is>
          <t>C04</t>
        </is>
      </c>
      <c r="B15" t="inlineStr">
        <is>
          <t>Social - Lookalike Prospecting</t>
        </is>
      </c>
      <c r="C15" t="inlineStr">
        <is>
          <t>Paid Social</t>
        </is>
      </c>
      <c r="D15" s="22" t="n">
        <v>203882.9399999999</v>
      </c>
      <c r="E15" s="23" t="n">
        <v>15536389</v>
      </c>
      <c r="F15" s="23" t="n">
        <v>185205</v>
      </c>
      <c r="G15" s="23" t="n">
        <v>16807</v>
      </c>
      <c r="H15" s="23" t="n">
        <v>588</v>
      </c>
      <c r="I15" s="23" t="n">
        <v>2144</v>
      </c>
      <c r="J15" s="23" t="n">
        <v>2982</v>
      </c>
      <c r="K15" s="22" t="n">
        <v>164916.64</v>
      </c>
      <c r="L15" s="22" t="n">
        <v>64292.56000000017</v>
      </c>
      <c r="M15" s="16" t="inlineStr">
        <is>
          <t>Not yet</t>
        </is>
      </c>
      <c r="N15" s="22" t="n">
        <v>160869.2800000001</v>
      </c>
      <c r="O15" s="24">
        <f>IF(E15=0,"",F15/E15)</f>
        <v/>
      </c>
      <c r="P15" s="25">
        <f>IF(F15=0,"",D15/F15)</f>
        <v/>
      </c>
      <c r="Q15" s="26">
        <f>IF(F15=0,"",G15/F15)</f>
        <v/>
      </c>
      <c r="R15" s="25">
        <f>IF(G15=0,"",D15/G15)</f>
        <v/>
      </c>
      <c r="S15" s="26">
        <f>IF(G15=0,"",H15/G15)</f>
        <v/>
      </c>
      <c r="T15" s="26">
        <f>IF(G15=0,"",I15/G15)</f>
        <v/>
      </c>
      <c r="U15" s="25">
        <f>IF(I15=0,"",D15/I15)</f>
        <v/>
      </c>
      <c r="V15" s="25">
        <f>IF(I15=0,"",L15/I15)</f>
        <v/>
      </c>
      <c r="W15" s="27">
        <f>IF(D15=0,"",K15/D15)</f>
        <v/>
      </c>
      <c r="X15" s="28">
        <f>IF(D15=0,"",(L15-D15)/D15)</f>
        <v/>
      </c>
      <c r="Y15" s="27">
        <f>IF(OR(U15="",V15=""),"",V15/U15)</f>
        <v/>
      </c>
      <c r="Z15">
        <f>IF(OR(G15&lt;MinSignups,X15=""),"Too early to judge",IF(X15&gt;=ScaleROI,"Scale",IF(OR(X15&gt;=CutROI,ISNUMBER(M15)),"Optimize","Cut or rework")))</f>
        <v/>
      </c>
    </row>
    <row r="16">
      <c r="A16" t="inlineStr">
        <is>
          <t>C03</t>
        </is>
      </c>
      <c r="B16" t="inlineStr">
        <is>
          <t>Search - Competitor</t>
        </is>
      </c>
      <c r="C16" t="inlineStr">
        <is>
          <t>Paid Search</t>
        </is>
      </c>
      <c r="D16" s="22" t="n">
        <v>55218.58000000002</v>
      </c>
      <c r="E16" s="23" t="n">
        <v>541643</v>
      </c>
      <c r="F16" s="23" t="n">
        <v>16218</v>
      </c>
      <c r="G16" s="23" t="n">
        <v>1353</v>
      </c>
      <c r="H16" s="23" t="n">
        <v>90</v>
      </c>
      <c r="I16" s="23" t="n">
        <v>229</v>
      </c>
      <c r="J16" s="23" t="n">
        <v>362</v>
      </c>
      <c r="K16" s="22" t="n">
        <v>22997.80999999999</v>
      </c>
      <c r="L16" s="22" t="n">
        <v>9778.359999999997</v>
      </c>
      <c r="M16" s="16" t="inlineStr">
        <is>
          <t>Not yet</t>
        </is>
      </c>
      <c r="N16" s="22" t="n">
        <v>0</v>
      </c>
      <c r="O16" s="24">
        <f>IF(E16=0,"",F16/E16)</f>
        <v/>
      </c>
      <c r="P16" s="25">
        <f>IF(F16=0,"",D16/F16)</f>
        <v/>
      </c>
      <c r="Q16" s="26">
        <f>IF(F16=0,"",G16/F16)</f>
        <v/>
      </c>
      <c r="R16" s="25">
        <f>IF(G16=0,"",D16/G16)</f>
        <v/>
      </c>
      <c r="S16" s="26">
        <f>IF(G16=0,"",H16/G16)</f>
        <v/>
      </c>
      <c r="T16" s="26">
        <f>IF(G16=0,"",I16/G16)</f>
        <v/>
      </c>
      <c r="U16" s="25">
        <f>IF(I16=0,"",D16/I16)</f>
        <v/>
      </c>
      <c r="V16" s="25">
        <f>IF(I16=0,"",L16/I16)</f>
        <v/>
      </c>
      <c r="W16" s="27">
        <f>IF(D16=0,"",K16/D16)</f>
        <v/>
      </c>
      <c r="X16" s="28">
        <f>IF(D16=0,"",(L16-D16)/D16)</f>
        <v/>
      </c>
      <c r="Y16" s="27">
        <f>IF(OR(U16="",V16=""),"",V16/U16)</f>
        <v/>
      </c>
      <c r="Z16">
        <f>IF(OR(G16&lt;MinSignups,X16=""),"Too early to judge",IF(X16&gt;=ScaleROI,"Scale",IF(OR(X16&gt;=CutROI,ISNUMBER(M16)),"Optimize","Cut or rework")))</f>
        <v/>
      </c>
    </row>
    <row r="17">
      <c r="A17" t="inlineStr">
        <is>
          <t>C07</t>
        </is>
      </c>
      <c r="B17" t="inlineStr">
        <is>
          <t>Display - Programmatic</t>
        </is>
      </c>
      <c r="C17" t="inlineStr">
        <is>
          <t>Display</t>
        </is>
      </c>
      <c r="D17" s="22" t="n">
        <v>89460.17999999993</v>
      </c>
      <c r="E17" s="23" t="n">
        <v>50516512</v>
      </c>
      <c r="F17" s="23" t="n">
        <v>200007</v>
      </c>
      <c r="G17" s="23" t="n">
        <v>5002</v>
      </c>
      <c r="H17" s="23" t="n">
        <v>110</v>
      </c>
      <c r="I17" s="23" t="n">
        <v>498</v>
      </c>
      <c r="J17" s="23" t="n">
        <v>658</v>
      </c>
      <c r="K17" s="22" t="n">
        <v>32609.25000000001</v>
      </c>
      <c r="L17" s="22" t="n">
        <v>12600.11999999999</v>
      </c>
      <c r="M17" s="16" t="inlineStr">
        <is>
          <t>Not yet</t>
        </is>
      </c>
      <c r="N17" s="22" t="n">
        <v>64438.86999999997</v>
      </c>
      <c r="O17" s="24">
        <f>IF(E17=0,"",F17/E17)</f>
        <v/>
      </c>
      <c r="P17" s="25">
        <f>IF(F17=0,"",D17/F17)</f>
        <v/>
      </c>
      <c r="Q17" s="26">
        <f>IF(F17=0,"",G17/F17)</f>
        <v/>
      </c>
      <c r="R17" s="25">
        <f>IF(G17=0,"",D17/G17)</f>
        <v/>
      </c>
      <c r="S17" s="26">
        <f>IF(G17=0,"",H17/G17)</f>
        <v/>
      </c>
      <c r="T17" s="26">
        <f>IF(G17=0,"",I17/G17)</f>
        <v/>
      </c>
      <c r="U17" s="25">
        <f>IF(I17=0,"",D17/I17)</f>
        <v/>
      </c>
      <c r="V17" s="25">
        <f>IF(I17=0,"",L17/I17)</f>
        <v/>
      </c>
      <c r="W17" s="27">
        <f>IF(D17=0,"",K17/D17)</f>
        <v/>
      </c>
      <c r="X17" s="28">
        <f>IF(D17=0,"",(L17-D17)/D17)</f>
        <v/>
      </c>
      <c r="Y17" s="27">
        <f>IF(OR(U17="",V17=""),"",V17/U17)</f>
        <v/>
      </c>
      <c r="Z17">
        <f>IF(OR(G17&lt;MinSignups,X17=""),"Too early to judge",IF(X17&gt;=ScaleROI,"Scale",IF(OR(X17&gt;=CutROI,ISNUMBER(M17)),"Optimize","Cut or rework")))</f>
        <v/>
      </c>
    </row>
    <row r="18">
      <c r="A18" t="inlineStr">
        <is>
          <t>C13</t>
        </is>
      </c>
      <c r="B18" t="inlineStr">
        <is>
          <t>Social - Short Video Test</t>
        </is>
      </c>
      <c r="C18" t="inlineStr">
        <is>
          <t>Paid Social</t>
        </is>
      </c>
      <c r="D18" s="22" t="n">
        <v>0</v>
      </c>
      <c r="E18" s="23" t="n">
        <v>0</v>
      </c>
      <c r="F18" s="23" t="n">
        <v>0</v>
      </c>
      <c r="G18" s="23" t="n">
        <v>0</v>
      </c>
      <c r="H18" s="23" t="n">
        <v>0</v>
      </c>
      <c r="I18" s="23" t="n">
        <v>0</v>
      </c>
      <c r="J18" s="23" t="n">
        <v>0</v>
      </c>
      <c r="K18" s="22" t="n">
        <v>0</v>
      </c>
      <c r="L18" s="22" t="n">
        <v>0</v>
      </c>
      <c r="M18" s="16" t="inlineStr">
        <is>
          <t>Not yet</t>
        </is>
      </c>
      <c r="N18" s="22" t="n">
        <v>20852.46</v>
      </c>
      <c r="O18" s="24">
        <f>IF(E18=0,"",F18/E18)</f>
        <v/>
      </c>
      <c r="P18" s="25">
        <f>IF(F18=0,"",D18/F18)</f>
        <v/>
      </c>
      <c r="Q18" s="26">
        <f>IF(F18=0,"",G18/F18)</f>
        <v/>
      </c>
      <c r="R18" s="25">
        <f>IF(G18=0,"",D18/G18)</f>
        <v/>
      </c>
      <c r="S18" s="26">
        <f>IF(G18=0,"",H18/G18)</f>
        <v/>
      </c>
      <c r="T18" s="26">
        <f>IF(G18=0,"",I18/G18)</f>
        <v/>
      </c>
      <c r="U18" s="25">
        <f>IF(I18=0,"",D18/I18)</f>
        <v/>
      </c>
      <c r="V18" s="25">
        <f>IF(I18=0,"",L18/I18)</f>
        <v/>
      </c>
      <c r="W18" s="27">
        <f>IF(D18=0,"",K18/D18)</f>
        <v/>
      </c>
      <c r="X18" s="28">
        <f>IF(D18=0,"",(L18-D18)/D18)</f>
        <v/>
      </c>
      <c r="Y18" s="27">
        <f>IF(OR(U18="",V18=""),"",V18/U18)</f>
        <v/>
      </c>
      <c r="Z18">
        <f>IF(OR(G18&lt;MinSignups,X18=""),"Too early to judge",IF(X18&gt;=ScaleROI,"Scale",IF(OR(X18&gt;=CutROI,ISNUMBER(M18)),"Optimize","Cut or rework")))</f>
        <v/>
      </c>
    </row>
    <row r="19">
      <c r="A19" s="29" t="n"/>
      <c r="B19" s="29" t="inlineStr">
        <is>
          <t>Total</t>
        </is>
      </c>
      <c r="C19" s="29" t="n"/>
      <c r="D19" s="30">
        <f>SUM(D6:D18)</f>
        <v/>
      </c>
      <c r="E19" s="31">
        <f>SUM(E6:E18)</f>
        <v/>
      </c>
      <c r="F19" s="31">
        <f>SUM(F6:F18)</f>
        <v/>
      </c>
      <c r="G19" s="31">
        <f>SUM(G6:G18)</f>
        <v/>
      </c>
      <c r="H19" s="31">
        <f>SUM(H6:H18)</f>
        <v/>
      </c>
      <c r="I19" s="31">
        <f>SUM(I6:I18)</f>
        <v/>
      </c>
      <c r="J19" s="31">
        <f>SUM(J6:J18)</f>
        <v/>
      </c>
      <c r="K19" s="30">
        <f>SUM(K6:K18)</f>
        <v/>
      </c>
      <c r="L19" s="30">
        <f>SUM(L6:L18)</f>
        <v/>
      </c>
      <c r="M19" s="32" t="n"/>
      <c r="N19" s="30">
        <f>SUM(N6:N18)</f>
        <v/>
      </c>
      <c r="O19" s="33">
        <f>IF(E19=0,"",F19/E19)</f>
        <v/>
      </c>
      <c r="P19" s="34">
        <f>IF(F19=0,"",D19/F19)</f>
        <v/>
      </c>
      <c r="Q19" s="35">
        <f>IF(F19=0,"",G19/F19)</f>
        <v/>
      </c>
      <c r="R19" s="34">
        <f>IF(G19=0,"",D19/G19)</f>
        <v/>
      </c>
      <c r="S19" s="35">
        <f>IF(G19=0,"",H19/G19)</f>
        <v/>
      </c>
      <c r="T19" s="35">
        <f>IF(G19=0,"",I19/G19)</f>
        <v/>
      </c>
      <c r="U19" s="34">
        <f>IF(I19=0,"",D19/I19)</f>
        <v/>
      </c>
      <c r="V19" s="34">
        <f>IF(I19=0,"",L19/I19)</f>
        <v/>
      </c>
      <c r="W19" s="36">
        <f>IF(D19=0,"",K19/D19)</f>
        <v/>
      </c>
      <c r="X19" s="37">
        <f>IF(D19=0,"",(L19-D19)/D19)</f>
        <v/>
      </c>
      <c r="Y19" s="36">
        <f>IF(OR(U19="",V19=""),"",V19/U19)</f>
        <v/>
      </c>
      <c r="Z19" s="29" t="n"/>
    </row>
  </sheetData>
  <mergeCells count="2">
    <mergeCell ref="O4:Z4"/>
    <mergeCell ref="A4:N4"/>
  </mergeCells>
  <conditionalFormatting sqref="X6:X19">
    <cfRule type="expression" priority="1" dxfId="0">
      <formula>AND(ISNUMBER(X6),X6&gt;=ScaleROI)</formula>
    </cfRule>
    <cfRule type="expression" priority="2" dxfId="1">
      <formula>AND(ISNUMBER(X6),X6&lt;CutROI)</formula>
    </cfRule>
    <cfRule type="expression" priority="3" dxfId="2">
      <formula>AND(ISNUMBER(X6),X6&gt;=CutROI,X6&lt;ScaleROI)</formula>
    </cfRule>
  </conditionalFormatting>
  <conditionalFormatting sqref="Z6:Z18">
    <cfRule type="expression" priority="4" dxfId="3">
      <formula>Z6="Scale"</formula>
    </cfRule>
    <cfRule type="expression" priority="5" dxfId="4">
      <formula>Z6="Cut or rework"</formula>
    </cfRule>
    <cfRule type="expression" priority="6" dxfId="5">
      <formula>Z6="Optimize"</formula>
    </cfRule>
  </conditionalFormatting>
  <conditionalFormatting sqref="D6:D18">
    <cfRule type="dataBar" priority="7">
      <dataBar>
        <cfvo type="num" val="0"/>
        <cfvo type="max"/>
        <color rgb="009DB9E0"/>
      </dataBar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5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Cohort conversion</t>
        </is>
      </c>
    </row>
    <row r="2">
      <c r="A2" s="2" t="inlineStr">
        <is>
          <t>Each row is the month people signed up. Columns show how many had made a first purchase within 30, 60, ... 360 days. A cell stays blank until every member of the cohort has had that long.</t>
        </is>
      </c>
    </row>
    <row r="4">
      <c r="A4" s="38" t="inlineStr">
        <is>
          <t>Customers who had bought (cumulative count)</t>
        </is>
      </c>
    </row>
    <row r="5" ht="30" customHeight="1">
      <c r="A5" s="12" t="inlineStr">
        <is>
          <t>Sign-up month</t>
        </is>
      </c>
      <c r="B5" s="12" t="inlineStr">
        <is>
          <t>Sign-ups</t>
        </is>
      </c>
      <c r="C5" s="12" t="inlineStr">
        <is>
          <t>30 days</t>
        </is>
      </c>
      <c r="D5" s="12" t="inlineStr">
        <is>
          <t>60 days</t>
        </is>
      </c>
      <c r="E5" s="12" t="inlineStr">
        <is>
          <t>90 days</t>
        </is>
      </c>
      <c r="F5" s="12" t="inlineStr">
        <is>
          <t>120 days</t>
        </is>
      </c>
      <c r="G5" s="12" t="inlineStr">
        <is>
          <t>150 days</t>
        </is>
      </c>
      <c r="H5" s="12" t="inlineStr">
        <is>
          <t>180 days</t>
        </is>
      </c>
      <c r="I5" s="12" t="inlineStr">
        <is>
          <t>210 days</t>
        </is>
      </c>
      <c r="J5" s="12" t="inlineStr">
        <is>
          <t>240 days</t>
        </is>
      </c>
      <c r="K5" s="12" t="inlineStr">
        <is>
          <t>270 days</t>
        </is>
      </c>
      <c r="L5" s="12" t="inlineStr">
        <is>
          <t>300 days</t>
        </is>
      </c>
      <c r="M5" s="12" t="inlineStr">
        <is>
          <t>330 days</t>
        </is>
      </c>
      <c r="N5" s="12" t="inlineStr">
        <is>
          <t>360 days</t>
        </is>
      </c>
    </row>
    <row r="6">
      <c r="A6" s="39" t="n">
        <v>45292</v>
      </c>
      <c r="B6" s="23" t="n">
        <v>3012</v>
      </c>
      <c r="C6" s="23" t="n">
        <v>730</v>
      </c>
      <c r="D6" s="23" t="n">
        <v>761</v>
      </c>
      <c r="E6" s="23" t="n">
        <v>766</v>
      </c>
      <c r="F6" s="23" t="n">
        <v>767</v>
      </c>
      <c r="G6" s="23" t="n">
        <v>767</v>
      </c>
      <c r="H6" s="23" t="n">
        <v>767</v>
      </c>
      <c r="I6" s="23" t="n">
        <v>767</v>
      </c>
      <c r="J6" s="23" t="n">
        <v>767</v>
      </c>
      <c r="K6" s="23" t="n">
        <v>767</v>
      </c>
      <c r="L6" s="23" t="n">
        <v>767</v>
      </c>
      <c r="M6" s="23" t="n">
        <v>767</v>
      </c>
      <c r="N6" s="23" t="n">
        <v>767</v>
      </c>
    </row>
    <row r="7">
      <c r="A7" s="39" t="n">
        <v>45323</v>
      </c>
      <c r="B7" s="23" t="n">
        <v>2888</v>
      </c>
      <c r="C7" s="23" t="n">
        <v>755</v>
      </c>
      <c r="D7" s="23" t="n">
        <v>779</v>
      </c>
      <c r="E7" s="23" t="n">
        <v>784</v>
      </c>
      <c r="F7" s="23" t="n">
        <v>784</v>
      </c>
      <c r="G7" s="23" t="n">
        <v>785</v>
      </c>
      <c r="H7" s="23" t="n">
        <v>785</v>
      </c>
      <c r="I7" s="23" t="n">
        <v>785</v>
      </c>
      <c r="J7" s="23" t="n">
        <v>785</v>
      </c>
      <c r="K7" s="23" t="n">
        <v>785</v>
      </c>
      <c r="L7" s="23" t="n">
        <v>785</v>
      </c>
      <c r="M7" s="23" t="n">
        <v>785</v>
      </c>
      <c r="N7" s="23" t="n">
        <v>785</v>
      </c>
    </row>
    <row r="8">
      <c r="A8" s="39" t="n">
        <v>45352</v>
      </c>
      <c r="B8" s="23" t="n">
        <v>3779</v>
      </c>
      <c r="C8" s="23" t="n">
        <v>956</v>
      </c>
      <c r="D8" s="23" t="n">
        <v>1001</v>
      </c>
      <c r="E8" s="23" t="n">
        <v>1010</v>
      </c>
      <c r="F8" s="23" t="n">
        <v>1011</v>
      </c>
      <c r="G8" s="23" t="n">
        <v>1011</v>
      </c>
      <c r="H8" s="23" t="n">
        <v>1011</v>
      </c>
      <c r="I8" s="23" t="n">
        <v>1011</v>
      </c>
      <c r="J8" s="23" t="n">
        <v>1011</v>
      </c>
      <c r="K8" s="23" t="n">
        <v>1011</v>
      </c>
      <c r="L8" s="23" t="n">
        <v>1011</v>
      </c>
      <c r="M8" s="23" t="n">
        <v>1011</v>
      </c>
      <c r="N8" s="23" t="n">
        <v>1011</v>
      </c>
    </row>
    <row r="9">
      <c r="A9" s="39" t="n">
        <v>45383</v>
      </c>
      <c r="B9" s="23" t="n">
        <v>3671</v>
      </c>
      <c r="C9" s="23" t="n">
        <v>944</v>
      </c>
      <c r="D9" s="23" t="n">
        <v>1000</v>
      </c>
      <c r="E9" s="23" t="n">
        <v>1005</v>
      </c>
      <c r="F9" s="23" t="n">
        <v>1005</v>
      </c>
      <c r="G9" s="23" t="n">
        <v>1005</v>
      </c>
      <c r="H9" s="23" t="n">
        <v>1005</v>
      </c>
      <c r="I9" s="23" t="n">
        <v>1006</v>
      </c>
      <c r="J9" s="23" t="n">
        <v>1006</v>
      </c>
      <c r="K9" s="23" t="n">
        <v>1006</v>
      </c>
      <c r="L9" s="23" t="n">
        <v>1006</v>
      </c>
      <c r="M9" s="23" t="n">
        <v>1006</v>
      </c>
      <c r="N9" s="23" t="n">
        <v>1006</v>
      </c>
    </row>
    <row r="10">
      <c r="A10" s="39" t="n">
        <v>45413</v>
      </c>
      <c r="B10" s="23" t="n">
        <v>4015</v>
      </c>
      <c r="C10" s="23" t="n">
        <v>1010</v>
      </c>
      <c r="D10" s="23" t="n">
        <v>1052</v>
      </c>
      <c r="E10" s="23" t="n">
        <v>1063</v>
      </c>
      <c r="F10" s="23" t="n">
        <v>1065</v>
      </c>
      <c r="G10" s="23" t="n">
        <v>1066</v>
      </c>
      <c r="H10" s="23" t="n">
        <v>1066</v>
      </c>
      <c r="I10" s="23" t="n">
        <v>1066</v>
      </c>
      <c r="J10" s="23" t="n">
        <v>1066</v>
      </c>
      <c r="K10" s="23" t="n">
        <v>1066</v>
      </c>
      <c r="L10" s="23" t="n">
        <v>1066</v>
      </c>
      <c r="M10" s="23" t="n">
        <v>1066</v>
      </c>
      <c r="N10" s="23" t="n">
        <v>1066</v>
      </c>
    </row>
    <row r="11">
      <c r="A11" s="39" t="n">
        <v>45444</v>
      </c>
      <c r="B11" s="23" t="n">
        <v>3882</v>
      </c>
      <c r="C11" s="23" t="n">
        <v>944</v>
      </c>
      <c r="D11" s="23" t="n">
        <v>997</v>
      </c>
      <c r="E11" s="23" t="n">
        <v>1004</v>
      </c>
      <c r="F11" s="23" t="n">
        <v>1006</v>
      </c>
      <c r="G11" s="23" t="n">
        <v>1006</v>
      </c>
      <c r="H11" s="23" t="n">
        <v>1006</v>
      </c>
      <c r="I11" s="23" t="n">
        <v>1006</v>
      </c>
      <c r="J11" s="23" t="n">
        <v>1006</v>
      </c>
      <c r="K11" s="23" t="n">
        <v>1006</v>
      </c>
      <c r="L11" s="23" t="n">
        <v>1006</v>
      </c>
      <c r="M11" s="23" t="n">
        <v>1006</v>
      </c>
      <c r="N11" s="23" t="n">
        <v>1006</v>
      </c>
    </row>
    <row r="12">
      <c r="A12" s="39" t="n">
        <v>45474</v>
      </c>
      <c r="B12" s="23" t="n">
        <v>4001</v>
      </c>
      <c r="C12" s="23" t="n">
        <v>1018</v>
      </c>
      <c r="D12" s="23" t="n">
        <v>1077</v>
      </c>
      <c r="E12" s="23" t="n">
        <v>1087</v>
      </c>
      <c r="F12" s="23" t="n">
        <v>1087</v>
      </c>
      <c r="G12" s="23" t="n">
        <v>1087</v>
      </c>
      <c r="H12" s="23" t="n">
        <v>1087</v>
      </c>
      <c r="I12" s="23" t="n">
        <v>1087</v>
      </c>
      <c r="J12" s="23" t="n">
        <v>1087</v>
      </c>
      <c r="K12" s="23" t="n">
        <v>1087</v>
      </c>
      <c r="L12" s="23" t="n">
        <v>1087</v>
      </c>
      <c r="M12" s="23" t="n">
        <v>1087</v>
      </c>
      <c r="N12" s="23" t="n">
        <v>1087</v>
      </c>
    </row>
    <row r="13">
      <c r="A13" s="39" t="n">
        <v>45505</v>
      </c>
      <c r="B13" s="23" t="n">
        <v>4206</v>
      </c>
      <c r="C13" s="23" t="n">
        <v>1025</v>
      </c>
      <c r="D13" s="23" t="n">
        <v>1070</v>
      </c>
      <c r="E13" s="23" t="n">
        <v>1078</v>
      </c>
      <c r="F13" s="23" t="n">
        <v>1080</v>
      </c>
      <c r="G13" s="23" t="n">
        <v>1080</v>
      </c>
      <c r="H13" s="23" t="n">
        <v>1080</v>
      </c>
      <c r="I13" s="23" t="n">
        <v>1080</v>
      </c>
      <c r="J13" s="23" t="n">
        <v>1080</v>
      </c>
      <c r="K13" s="23" t="n">
        <v>1080</v>
      </c>
      <c r="L13" s="23" t="n">
        <v>1080</v>
      </c>
      <c r="M13" s="23" t="n">
        <v>1080</v>
      </c>
      <c r="N13" s="23" t="n">
        <v>1080</v>
      </c>
    </row>
    <row r="14">
      <c r="A14" s="39" t="n">
        <v>45536</v>
      </c>
      <c r="B14" s="23" t="n">
        <v>4316</v>
      </c>
      <c r="C14" s="23" t="n">
        <v>1060</v>
      </c>
      <c r="D14" s="23" t="n">
        <v>1111</v>
      </c>
      <c r="E14" s="23" t="n">
        <v>1121</v>
      </c>
      <c r="F14" s="23" t="n">
        <v>1124</v>
      </c>
      <c r="G14" s="23" t="n">
        <v>1124</v>
      </c>
      <c r="H14" s="23" t="n">
        <v>1124</v>
      </c>
      <c r="I14" s="23" t="n">
        <v>1124</v>
      </c>
      <c r="J14" s="23" t="n">
        <v>1124</v>
      </c>
      <c r="K14" s="23" t="n">
        <v>1124</v>
      </c>
      <c r="L14" s="23" t="n">
        <v>1124</v>
      </c>
      <c r="M14" s="23" t="n">
        <v>1124</v>
      </c>
      <c r="N14" s="23" t="n">
        <v>1124</v>
      </c>
    </row>
    <row r="15">
      <c r="A15" s="39" t="n">
        <v>45566</v>
      </c>
      <c r="B15" s="23" t="n">
        <v>5864</v>
      </c>
      <c r="C15" s="23" t="n">
        <v>1342</v>
      </c>
      <c r="D15" s="23" t="n">
        <v>1414</v>
      </c>
      <c r="E15" s="23" t="n">
        <v>1421</v>
      </c>
      <c r="F15" s="23" t="n">
        <v>1421</v>
      </c>
      <c r="G15" s="23" t="n">
        <v>1422</v>
      </c>
      <c r="H15" s="23" t="n">
        <v>1422</v>
      </c>
      <c r="I15" s="23" t="n">
        <v>1422</v>
      </c>
      <c r="J15" s="23" t="n">
        <v>1422</v>
      </c>
      <c r="K15" s="23" t="n">
        <v>1422</v>
      </c>
      <c r="L15" s="23" t="n">
        <v>1422</v>
      </c>
      <c r="M15" s="23" t="n">
        <v>1422</v>
      </c>
      <c r="N15" s="23" t="n">
        <v>1422</v>
      </c>
    </row>
    <row r="16">
      <c r="A16" s="39" t="n">
        <v>45597</v>
      </c>
      <c r="B16" s="23" t="n">
        <v>6755</v>
      </c>
      <c r="C16" s="23" t="n">
        <v>1637</v>
      </c>
      <c r="D16" s="23" t="n">
        <v>1728</v>
      </c>
      <c r="E16" s="23" t="n">
        <v>1749</v>
      </c>
      <c r="F16" s="23" t="n">
        <v>1753</v>
      </c>
      <c r="G16" s="23" t="n">
        <v>1753</v>
      </c>
      <c r="H16" s="23" t="n">
        <v>1753</v>
      </c>
      <c r="I16" s="23" t="n">
        <v>1753</v>
      </c>
      <c r="J16" s="23" t="n">
        <v>1753</v>
      </c>
      <c r="K16" s="23" t="n">
        <v>1753</v>
      </c>
      <c r="L16" s="23" t="n">
        <v>1753</v>
      </c>
      <c r="M16" s="23" t="n">
        <v>1753</v>
      </c>
      <c r="N16" s="23" t="n">
        <v>1753</v>
      </c>
    </row>
    <row r="17">
      <c r="A17" s="39" t="n">
        <v>45627</v>
      </c>
      <c r="B17" s="23" t="n">
        <v>7481</v>
      </c>
      <c r="C17" s="23" t="n">
        <v>1776</v>
      </c>
      <c r="D17" s="23" t="n">
        <v>1869</v>
      </c>
      <c r="E17" s="23" t="n">
        <v>1880</v>
      </c>
      <c r="F17" s="23" t="n">
        <v>1884</v>
      </c>
      <c r="G17" s="23" t="n">
        <v>1884</v>
      </c>
      <c r="H17" s="23" t="n">
        <v>1884</v>
      </c>
      <c r="I17" s="23" t="n">
        <v>1884</v>
      </c>
      <c r="J17" s="23" t="n">
        <v>1884</v>
      </c>
      <c r="K17" s="23" t="n">
        <v>1884</v>
      </c>
      <c r="L17" s="23" t="n">
        <v>1884</v>
      </c>
      <c r="M17" s="23" t="n">
        <v>1884</v>
      </c>
      <c r="N17" s="23" t="n">
        <v>1884</v>
      </c>
    </row>
    <row r="18">
      <c r="A18" s="39" t="n">
        <v>45658</v>
      </c>
      <c r="B18" s="23" t="n">
        <v>4129</v>
      </c>
      <c r="C18" s="23" t="n">
        <v>986</v>
      </c>
      <c r="D18" s="23" t="n">
        <v>1034</v>
      </c>
      <c r="E18" s="23" t="n">
        <v>1042</v>
      </c>
      <c r="F18" s="23" t="n">
        <v>1043</v>
      </c>
      <c r="G18" s="23" t="n">
        <v>1045</v>
      </c>
      <c r="H18" s="23" t="n">
        <v>1045</v>
      </c>
      <c r="I18" s="23" t="n">
        <v>1045</v>
      </c>
      <c r="J18" s="23" t="n">
        <v>1045</v>
      </c>
      <c r="K18" s="23" t="n">
        <v>1045</v>
      </c>
      <c r="L18" s="23" t="n">
        <v>1045</v>
      </c>
      <c r="M18" s="23" t="n">
        <v>1045</v>
      </c>
      <c r="N18" s="23" t="n"/>
    </row>
    <row r="19">
      <c r="A19" s="39" t="n">
        <v>45689</v>
      </c>
      <c r="B19" s="23" t="n">
        <v>3808</v>
      </c>
      <c r="C19" s="23" t="n">
        <v>898</v>
      </c>
      <c r="D19" s="23" t="n">
        <v>948</v>
      </c>
      <c r="E19" s="23" t="n">
        <v>954</v>
      </c>
      <c r="F19" s="23" t="n">
        <v>956</v>
      </c>
      <c r="G19" s="23" t="n">
        <v>956</v>
      </c>
      <c r="H19" s="23" t="n">
        <v>956</v>
      </c>
      <c r="I19" s="23" t="n">
        <v>956</v>
      </c>
      <c r="J19" s="23" t="n">
        <v>956</v>
      </c>
      <c r="K19" s="23" t="n">
        <v>956</v>
      </c>
      <c r="L19" s="23" t="n">
        <v>956</v>
      </c>
      <c r="M19" s="23" t="n"/>
      <c r="N19" s="23" t="n"/>
    </row>
    <row r="20">
      <c r="A20" s="39" t="n">
        <v>45717</v>
      </c>
      <c r="B20" s="23" t="n">
        <v>4627</v>
      </c>
      <c r="C20" s="23" t="n">
        <v>1156</v>
      </c>
      <c r="D20" s="23" t="n">
        <v>1211</v>
      </c>
      <c r="E20" s="23" t="n">
        <v>1227</v>
      </c>
      <c r="F20" s="23" t="n">
        <v>1229</v>
      </c>
      <c r="G20" s="23" t="n">
        <v>1230</v>
      </c>
      <c r="H20" s="23" t="n">
        <v>1230</v>
      </c>
      <c r="I20" s="23" t="n">
        <v>1230</v>
      </c>
      <c r="J20" s="23" t="n">
        <v>1230</v>
      </c>
      <c r="K20" s="23" t="n">
        <v>1230</v>
      </c>
      <c r="L20" s="23" t="n"/>
      <c r="M20" s="23" t="n"/>
      <c r="N20" s="23" t="n"/>
    </row>
    <row r="21">
      <c r="A21" s="39" t="n">
        <v>45748</v>
      </c>
      <c r="B21" s="23" t="n">
        <v>4652</v>
      </c>
      <c r="C21" s="23" t="n">
        <v>1131</v>
      </c>
      <c r="D21" s="23" t="n">
        <v>1193</v>
      </c>
      <c r="E21" s="23" t="n">
        <v>1201</v>
      </c>
      <c r="F21" s="23" t="n">
        <v>1202</v>
      </c>
      <c r="G21" s="23" t="n">
        <v>1202</v>
      </c>
      <c r="H21" s="23" t="n">
        <v>1202</v>
      </c>
      <c r="I21" s="23" t="n">
        <v>1202</v>
      </c>
      <c r="J21" s="23" t="n">
        <v>1202</v>
      </c>
      <c r="K21" s="23" t="n"/>
      <c r="L21" s="23" t="n"/>
      <c r="M21" s="23" t="n"/>
      <c r="N21" s="23" t="n"/>
    </row>
    <row r="22">
      <c r="A22" s="39" t="n">
        <v>45778</v>
      </c>
      <c r="B22" s="23" t="n">
        <v>5009</v>
      </c>
      <c r="C22" s="23" t="n">
        <v>1199</v>
      </c>
      <c r="D22" s="23" t="n">
        <v>1271</v>
      </c>
      <c r="E22" s="23" t="n">
        <v>1283</v>
      </c>
      <c r="F22" s="23" t="n">
        <v>1286</v>
      </c>
      <c r="G22" s="23" t="n">
        <v>1286</v>
      </c>
      <c r="H22" s="23" t="n">
        <v>1286</v>
      </c>
      <c r="I22" s="23" t="n">
        <v>1286</v>
      </c>
      <c r="J22" s="23" t="n"/>
      <c r="K22" s="23" t="n"/>
      <c r="L22" s="23" t="n"/>
      <c r="M22" s="23" t="n"/>
      <c r="N22" s="23" t="n"/>
    </row>
    <row r="23">
      <c r="A23" s="39" t="n">
        <v>45809</v>
      </c>
      <c r="B23" s="23" t="n">
        <v>4490</v>
      </c>
      <c r="C23" s="23" t="n">
        <v>1119</v>
      </c>
      <c r="D23" s="23" t="n">
        <v>1167</v>
      </c>
      <c r="E23" s="23" t="n">
        <v>1175</v>
      </c>
      <c r="F23" s="23" t="n">
        <v>1176</v>
      </c>
      <c r="G23" s="23" t="n">
        <v>1176</v>
      </c>
      <c r="H23" s="23" t="n">
        <v>1176</v>
      </c>
      <c r="I23" s="23" t="n"/>
      <c r="J23" s="23" t="n"/>
      <c r="K23" s="23" t="n"/>
      <c r="L23" s="23" t="n"/>
      <c r="M23" s="23" t="n"/>
      <c r="N23" s="23" t="n"/>
    </row>
    <row r="24">
      <c r="A24" s="39" t="n">
        <v>45839</v>
      </c>
      <c r="B24" s="23" t="n">
        <v>4404</v>
      </c>
      <c r="C24" s="23" t="n">
        <v>1097</v>
      </c>
      <c r="D24" s="23" t="n">
        <v>1149</v>
      </c>
      <c r="E24" s="23" t="n">
        <v>1156</v>
      </c>
      <c r="F24" s="23" t="n">
        <v>1156</v>
      </c>
      <c r="G24" s="23" t="n">
        <v>1156</v>
      </c>
      <c r="H24" s="23" t="n"/>
      <c r="I24" s="23" t="n"/>
      <c r="J24" s="23" t="n"/>
      <c r="K24" s="23" t="n"/>
      <c r="L24" s="23" t="n"/>
      <c r="M24" s="23" t="n"/>
      <c r="N24" s="23" t="n"/>
    </row>
    <row r="25">
      <c r="A25" s="39" t="n">
        <v>45870</v>
      </c>
      <c r="B25" s="23" t="n">
        <v>4491</v>
      </c>
      <c r="C25" s="23" t="n">
        <v>1061</v>
      </c>
      <c r="D25" s="23" t="n">
        <v>1111</v>
      </c>
      <c r="E25" s="23" t="n">
        <v>1122</v>
      </c>
      <c r="F25" s="23" t="n">
        <v>1123</v>
      </c>
      <c r="G25" s="23" t="n"/>
      <c r="H25" s="23" t="n"/>
      <c r="I25" s="23" t="n"/>
      <c r="J25" s="23" t="n"/>
      <c r="K25" s="23" t="n"/>
      <c r="L25" s="23" t="n"/>
      <c r="M25" s="23" t="n"/>
      <c r="N25" s="23" t="n"/>
    </row>
    <row r="26">
      <c r="A26" s="39" t="n">
        <v>45901</v>
      </c>
      <c r="B26" s="23" t="n">
        <v>4976</v>
      </c>
      <c r="C26" s="23" t="n">
        <v>1197</v>
      </c>
      <c r="D26" s="23" t="n">
        <v>1250</v>
      </c>
      <c r="E26" s="23" t="n">
        <v>1257</v>
      </c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>
      <c r="A27" s="39" t="n">
        <v>45931</v>
      </c>
      <c r="B27" s="23" t="n">
        <v>6805</v>
      </c>
      <c r="C27" s="23" t="n">
        <v>1529</v>
      </c>
      <c r="D27" s="23" t="n">
        <v>1611</v>
      </c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</row>
    <row r="28">
      <c r="A28" s="39" t="n">
        <v>45962</v>
      </c>
      <c r="B28" s="23" t="n">
        <v>7740</v>
      </c>
      <c r="C28" s="23" t="n">
        <v>1720</v>
      </c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</row>
    <row r="29">
      <c r="A29" s="39" t="n">
        <v>45992</v>
      </c>
      <c r="B29" s="23" t="n">
        <v>8556</v>
      </c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</row>
    <row r="32">
      <c r="A32" s="38" t="inlineStr">
        <is>
          <t>Conversion rate (cumulative % of sign-ups who had bought)</t>
        </is>
      </c>
    </row>
    <row r="33" ht="30" customHeight="1">
      <c r="A33" s="12" t="inlineStr">
        <is>
          <t>Sign-up month</t>
        </is>
      </c>
      <c r="B33" s="12" t="inlineStr">
        <is>
          <t>Sign-ups</t>
        </is>
      </c>
      <c r="C33" s="12" t="inlineStr">
        <is>
          <t>30 days</t>
        </is>
      </c>
      <c r="D33" s="12" t="inlineStr">
        <is>
          <t>60 days</t>
        </is>
      </c>
      <c r="E33" s="12" t="inlineStr">
        <is>
          <t>90 days</t>
        </is>
      </c>
      <c r="F33" s="12" t="inlineStr">
        <is>
          <t>120 days</t>
        </is>
      </c>
      <c r="G33" s="12" t="inlineStr">
        <is>
          <t>150 days</t>
        </is>
      </c>
      <c r="H33" s="12" t="inlineStr">
        <is>
          <t>180 days</t>
        </is>
      </c>
      <c r="I33" s="12" t="inlineStr">
        <is>
          <t>210 days</t>
        </is>
      </c>
      <c r="J33" s="12" t="inlineStr">
        <is>
          <t>240 days</t>
        </is>
      </c>
      <c r="K33" s="12" t="inlineStr">
        <is>
          <t>270 days</t>
        </is>
      </c>
      <c r="L33" s="12" t="inlineStr">
        <is>
          <t>300 days</t>
        </is>
      </c>
      <c r="M33" s="12" t="inlineStr">
        <is>
          <t>330 days</t>
        </is>
      </c>
      <c r="N33" s="12" t="inlineStr">
        <is>
          <t>360 days</t>
        </is>
      </c>
    </row>
    <row r="34">
      <c r="A34" s="39">
        <f>A6</f>
        <v/>
      </c>
      <c r="B34" s="23">
        <f>B6</f>
        <v/>
      </c>
      <c r="C34" s="26">
        <f>IF(C6="","",C6/$B6)</f>
        <v/>
      </c>
      <c r="D34" s="26">
        <f>IF(D6="","",D6/$B6)</f>
        <v/>
      </c>
      <c r="E34" s="26">
        <f>IF(E6="","",E6/$B6)</f>
        <v/>
      </c>
      <c r="F34" s="26">
        <f>IF(F6="","",F6/$B6)</f>
        <v/>
      </c>
      <c r="G34" s="26">
        <f>IF(G6="","",G6/$B6)</f>
        <v/>
      </c>
      <c r="H34" s="26">
        <f>IF(H6="","",H6/$B6)</f>
        <v/>
      </c>
      <c r="I34" s="26">
        <f>IF(I6="","",I6/$B6)</f>
        <v/>
      </c>
      <c r="J34" s="26">
        <f>IF(J6="","",J6/$B6)</f>
        <v/>
      </c>
      <c r="K34" s="26">
        <f>IF(K6="","",K6/$B6)</f>
        <v/>
      </c>
      <c r="L34" s="26">
        <f>IF(L6="","",L6/$B6)</f>
        <v/>
      </c>
      <c r="M34" s="26">
        <f>IF(M6="","",M6/$B6)</f>
        <v/>
      </c>
      <c r="N34" s="26">
        <f>IF(N6="","",N6/$B6)</f>
        <v/>
      </c>
    </row>
    <row r="35">
      <c r="A35" s="39">
        <f>A7</f>
        <v/>
      </c>
      <c r="B35" s="23">
        <f>B7</f>
        <v/>
      </c>
      <c r="C35" s="26">
        <f>IF(C7="","",C7/$B7)</f>
        <v/>
      </c>
      <c r="D35" s="26">
        <f>IF(D7="","",D7/$B7)</f>
        <v/>
      </c>
      <c r="E35" s="26">
        <f>IF(E7="","",E7/$B7)</f>
        <v/>
      </c>
      <c r="F35" s="26">
        <f>IF(F7="","",F7/$B7)</f>
        <v/>
      </c>
      <c r="G35" s="26">
        <f>IF(G7="","",G7/$B7)</f>
        <v/>
      </c>
      <c r="H35" s="26">
        <f>IF(H7="","",H7/$B7)</f>
        <v/>
      </c>
      <c r="I35" s="26">
        <f>IF(I7="","",I7/$B7)</f>
        <v/>
      </c>
      <c r="J35" s="26">
        <f>IF(J7="","",J7/$B7)</f>
        <v/>
      </c>
      <c r="K35" s="26">
        <f>IF(K7="","",K7/$B7)</f>
        <v/>
      </c>
      <c r="L35" s="26">
        <f>IF(L7="","",L7/$B7)</f>
        <v/>
      </c>
      <c r="M35" s="26">
        <f>IF(M7="","",M7/$B7)</f>
        <v/>
      </c>
      <c r="N35" s="26">
        <f>IF(N7="","",N7/$B7)</f>
        <v/>
      </c>
    </row>
    <row r="36">
      <c r="A36" s="39">
        <f>A8</f>
        <v/>
      </c>
      <c r="B36" s="23">
        <f>B8</f>
        <v/>
      </c>
      <c r="C36" s="26">
        <f>IF(C8="","",C8/$B8)</f>
        <v/>
      </c>
      <c r="D36" s="26">
        <f>IF(D8="","",D8/$B8)</f>
        <v/>
      </c>
      <c r="E36" s="26">
        <f>IF(E8="","",E8/$B8)</f>
        <v/>
      </c>
      <c r="F36" s="26">
        <f>IF(F8="","",F8/$B8)</f>
        <v/>
      </c>
      <c r="G36" s="26">
        <f>IF(G8="","",G8/$B8)</f>
        <v/>
      </c>
      <c r="H36" s="26">
        <f>IF(H8="","",H8/$B8)</f>
        <v/>
      </c>
      <c r="I36" s="26">
        <f>IF(I8="","",I8/$B8)</f>
        <v/>
      </c>
      <c r="J36" s="26">
        <f>IF(J8="","",J8/$B8)</f>
        <v/>
      </c>
      <c r="K36" s="26">
        <f>IF(K8="","",K8/$B8)</f>
        <v/>
      </c>
      <c r="L36" s="26">
        <f>IF(L8="","",L8/$B8)</f>
        <v/>
      </c>
      <c r="M36" s="26">
        <f>IF(M8="","",M8/$B8)</f>
        <v/>
      </c>
      <c r="N36" s="26">
        <f>IF(N8="","",N8/$B8)</f>
        <v/>
      </c>
    </row>
    <row r="37">
      <c r="A37" s="39">
        <f>A9</f>
        <v/>
      </c>
      <c r="B37" s="23">
        <f>B9</f>
        <v/>
      </c>
      <c r="C37" s="26">
        <f>IF(C9="","",C9/$B9)</f>
        <v/>
      </c>
      <c r="D37" s="26">
        <f>IF(D9="","",D9/$B9)</f>
        <v/>
      </c>
      <c r="E37" s="26">
        <f>IF(E9="","",E9/$B9)</f>
        <v/>
      </c>
      <c r="F37" s="26">
        <f>IF(F9="","",F9/$B9)</f>
        <v/>
      </c>
      <c r="G37" s="26">
        <f>IF(G9="","",G9/$B9)</f>
        <v/>
      </c>
      <c r="H37" s="26">
        <f>IF(H9="","",H9/$B9)</f>
        <v/>
      </c>
      <c r="I37" s="26">
        <f>IF(I9="","",I9/$B9)</f>
        <v/>
      </c>
      <c r="J37" s="26">
        <f>IF(J9="","",J9/$B9)</f>
        <v/>
      </c>
      <c r="K37" s="26">
        <f>IF(K9="","",K9/$B9)</f>
        <v/>
      </c>
      <c r="L37" s="26">
        <f>IF(L9="","",L9/$B9)</f>
        <v/>
      </c>
      <c r="M37" s="26">
        <f>IF(M9="","",M9/$B9)</f>
        <v/>
      </c>
      <c r="N37" s="26">
        <f>IF(N9="","",N9/$B9)</f>
        <v/>
      </c>
    </row>
    <row r="38">
      <c r="A38" s="39">
        <f>A10</f>
        <v/>
      </c>
      <c r="B38" s="23">
        <f>B10</f>
        <v/>
      </c>
      <c r="C38" s="26">
        <f>IF(C10="","",C10/$B10)</f>
        <v/>
      </c>
      <c r="D38" s="26">
        <f>IF(D10="","",D10/$B10)</f>
        <v/>
      </c>
      <c r="E38" s="26">
        <f>IF(E10="","",E10/$B10)</f>
        <v/>
      </c>
      <c r="F38" s="26">
        <f>IF(F10="","",F10/$B10)</f>
        <v/>
      </c>
      <c r="G38" s="26">
        <f>IF(G10="","",G10/$B10)</f>
        <v/>
      </c>
      <c r="H38" s="26">
        <f>IF(H10="","",H10/$B10)</f>
        <v/>
      </c>
      <c r="I38" s="26">
        <f>IF(I10="","",I10/$B10)</f>
        <v/>
      </c>
      <c r="J38" s="26">
        <f>IF(J10="","",J10/$B10)</f>
        <v/>
      </c>
      <c r="K38" s="26">
        <f>IF(K10="","",K10/$B10)</f>
        <v/>
      </c>
      <c r="L38" s="26">
        <f>IF(L10="","",L10/$B10)</f>
        <v/>
      </c>
      <c r="M38" s="26">
        <f>IF(M10="","",M10/$B10)</f>
        <v/>
      </c>
      <c r="N38" s="26">
        <f>IF(N10="","",N10/$B10)</f>
        <v/>
      </c>
    </row>
    <row r="39">
      <c r="A39" s="39">
        <f>A11</f>
        <v/>
      </c>
      <c r="B39" s="23">
        <f>B11</f>
        <v/>
      </c>
      <c r="C39" s="26">
        <f>IF(C11="","",C11/$B11)</f>
        <v/>
      </c>
      <c r="D39" s="26">
        <f>IF(D11="","",D11/$B11)</f>
        <v/>
      </c>
      <c r="E39" s="26">
        <f>IF(E11="","",E11/$B11)</f>
        <v/>
      </c>
      <c r="F39" s="26">
        <f>IF(F11="","",F11/$B11)</f>
        <v/>
      </c>
      <c r="G39" s="26">
        <f>IF(G11="","",G11/$B11)</f>
        <v/>
      </c>
      <c r="H39" s="26">
        <f>IF(H11="","",H11/$B11)</f>
        <v/>
      </c>
      <c r="I39" s="26">
        <f>IF(I11="","",I11/$B11)</f>
        <v/>
      </c>
      <c r="J39" s="26">
        <f>IF(J11="","",J11/$B11)</f>
        <v/>
      </c>
      <c r="K39" s="26">
        <f>IF(K11="","",K11/$B11)</f>
        <v/>
      </c>
      <c r="L39" s="26">
        <f>IF(L11="","",L11/$B11)</f>
        <v/>
      </c>
      <c r="M39" s="26">
        <f>IF(M11="","",M11/$B11)</f>
        <v/>
      </c>
      <c r="N39" s="26">
        <f>IF(N11="","",N11/$B11)</f>
        <v/>
      </c>
    </row>
    <row r="40">
      <c r="A40" s="39">
        <f>A12</f>
        <v/>
      </c>
      <c r="B40" s="23">
        <f>B12</f>
        <v/>
      </c>
      <c r="C40" s="26">
        <f>IF(C12="","",C12/$B12)</f>
        <v/>
      </c>
      <c r="D40" s="26">
        <f>IF(D12="","",D12/$B12)</f>
        <v/>
      </c>
      <c r="E40" s="26">
        <f>IF(E12="","",E12/$B12)</f>
        <v/>
      </c>
      <c r="F40" s="26">
        <f>IF(F12="","",F12/$B12)</f>
        <v/>
      </c>
      <c r="G40" s="26">
        <f>IF(G12="","",G12/$B12)</f>
        <v/>
      </c>
      <c r="H40" s="26">
        <f>IF(H12="","",H12/$B12)</f>
        <v/>
      </c>
      <c r="I40" s="26">
        <f>IF(I12="","",I12/$B12)</f>
        <v/>
      </c>
      <c r="J40" s="26">
        <f>IF(J12="","",J12/$B12)</f>
        <v/>
      </c>
      <c r="K40" s="26">
        <f>IF(K12="","",K12/$B12)</f>
        <v/>
      </c>
      <c r="L40" s="26">
        <f>IF(L12="","",L12/$B12)</f>
        <v/>
      </c>
      <c r="M40" s="26">
        <f>IF(M12="","",M12/$B12)</f>
        <v/>
      </c>
      <c r="N40" s="26">
        <f>IF(N12="","",N12/$B12)</f>
        <v/>
      </c>
    </row>
    <row r="41">
      <c r="A41" s="39">
        <f>A13</f>
        <v/>
      </c>
      <c r="B41" s="23">
        <f>B13</f>
        <v/>
      </c>
      <c r="C41" s="26">
        <f>IF(C13="","",C13/$B13)</f>
        <v/>
      </c>
      <c r="D41" s="26">
        <f>IF(D13="","",D13/$B13)</f>
        <v/>
      </c>
      <c r="E41" s="26">
        <f>IF(E13="","",E13/$B13)</f>
        <v/>
      </c>
      <c r="F41" s="26">
        <f>IF(F13="","",F13/$B13)</f>
        <v/>
      </c>
      <c r="G41" s="26">
        <f>IF(G13="","",G13/$B13)</f>
        <v/>
      </c>
      <c r="H41" s="26">
        <f>IF(H13="","",H13/$B13)</f>
        <v/>
      </c>
      <c r="I41" s="26">
        <f>IF(I13="","",I13/$B13)</f>
        <v/>
      </c>
      <c r="J41" s="26">
        <f>IF(J13="","",J13/$B13)</f>
        <v/>
      </c>
      <c r="K41" s="26">
        <f>IF(K13="","",K13/$B13)</f>
        <v/>
      </c>
      <c r="L41" s="26">
        <f>IF(L13="","",L13/$B13)</f>
        <v/>
      </c>
      <c r="M41" s="26">
        <f>IF(M13="","",M13/$B13)</f>
        <v/>
      </c>
      <c r="N41" s="26">
        <f>IF(N13="","",N13/$B13)</f>
        <v/>
      </c>
    </row>
    <row r="42">
      <c r="A42" s="39">
        <f>A14</f>
        <v/>
      </c>
      <c r="B42" s="23">
        <f>B14</f>
        <v/>
      </c>
      <c r="C42" s="26">
        <f>IF(C14="","",C14/$B14)</f>
        <v/>
      </c>
      <c r="D42" s="26">
        <f>IF(D14="","",D14/$B14)</f>
        <v/>
      </c>
      <c r="E42" s="26">
        <f>IF(E14="","",E14/$B14)</f>
        <v/>
      </c>
      <c r="F42" s="26">
        <f>IF(F14="","",F14/$B14)</f>
        <v/>
      </c>
      <c r="G42" s="26">
        <f>IF(G14="","",G14/$B14)</f>
        <v/>
      </c>
      <c r="H42" s="26">
        <f>IF(H14="","",H14/$B14)</f>
        <v/>
      </c>
      <c r="I42" s="26">
        <f>IF(I14="","",I14/$B14)</f>
        <v/>
      </c>
      <c r="J42" s="26">
        <f>IF(J14="","",J14/$B14)</f>
        <v/>
      </c>
      <c r="K42" s="26">
        <f>IF(K14="","",K14/$B14)</f>
        <v/>
      </c>
      <c r="L42" s="26">
        <f>IF(L14="","",L14/$B14)</f>
        <v/>
      </c>
      <c r="M42" s="26">
        <f>IF(M14="","",M14/$B14)</f>
        <v/>
      </c>
      <c r="N42" s="26">
        <f>IF(N14="","",N14/$B14)</f>
        <v/>
      </c>
    </row>
    <row r="43">
      <c r="A43" s="39">
        <f>A15</f>
        <v/>
      </c>
      <c r="B43" s="23">
        <f>B15</f>
        <v/>
      </c>
      <c r="C43" s="26">
        <f>IF(C15="","",C15/$B15)</f>
        <v/>
      </c>
      <c r="D43" s="26">
        <f>IF(D15="","",D15/$B15)</f>
        <v/>
      </c>
      <c r="E43" s="26">
        <f>IF(E15="","",E15/$B15)</f>
        <v/>
      </c>
      <c r="F43" s="26">
        <f>IF(F15="","",F15/$B15)</f>
        <v/>
      </c>
      <c r="G43" s="26">
        <f>IF(G15="","",G15/$B15)</f>
        <v/>
      </c>
      <c r="H43" s="26">
        <f>IF(H15="","",H15/$B15)</f>
        <v/>
      </c>
      <c r="I43" s="26">
        <f>IF(I15="","",I15/$B15)</f>
        <v/>
      </c>
      <c r="J43" s="26">
        <f>IF(J15="","",J15/$B15)</f>
        <v/>
      </c>
      <c r="K43" s="26">
        <f>IF(K15="","",K15/$B15)</f>
        <v/>
      </c>
      <c r="L43" s="26">
        <f>IF(L15="","",L15/$B15)</f>
        <v/>
      </c>
      <c r="M43" s="26">
        <f>IF(M15="","",M15/$B15)</f>
        <v/>
      </c>
      <c r="N43" s="26">
        <f>IF(N15="","",N15/$B15)</f>
        <v/>
      </c>
    </row>
    <row r="44">
      <c r="A44" s="39">
        <f>A16</f>
        <v/>
      </c>
      <c r="B44" s="23">
        <f>B16</f>
        <v/>
      </c>
      <c r="C44" s="26">
        <f>IF(C16="","",C16/$B16)</f>
        <v/>
      </c>
      <c r="D44" s="26">
        <f>IF(D16="","",D16/$B16)</f>
        <v/>
      </c>
      <c r="E44" s="26">
        <f>IF(E16="","",E16/$B16)</f>
        <v/>
      </c>
      <c r="F44" s="26">
        <f>IF(F16="","",F16/$B16)</f>
        <v/>
      </c>
      <c r="G44" s="26">
        <f>IF(G16="","",G16/$B16)</f>
        <v/>
      </c>
      <c r="H44" s="26">
        <f>IF(H16="","",H16/$B16)</f>
        <v/>
      </c>
      <c r="I44" s="26">
        <f>IF(I16="","",I16/$B16)</f>
        <v/>
      </c>
      <c r="J44" s="26">
        <f>IF(J16="","",J16/$B16)</f>
        <v/>
      </c>
      <c r="K44" s="26">
        <f>IF(K16="","",K16/$B16)</f>
        <v/>
      </c>
      <c r="L44" s="26">
        <f>IF(L16="","",L16/$B16)</f>
        <v/>
      </c>
      <c r="M44" s="26">
        <f>IF(M16="","",M16/$B16)</f>
        <v/>
      </c>
      <c r="N44" s="26">
        <f>IF(N16="","",N16/$B16)</f>
        <v/>
      </c>
    </row>
    <row r="45">
      <c r="A45" s="39">
        <f>A17</f>
        <v/>
      </c>
      <c r="B45" s="23">
        <f>B17</f>
        <v/>
      </c>
      <c r="C45" s="26">
        <f>IF(C17="","",C17/$B17)</f>
        <v/>
      </c>
      <c r="D45" s="26">
        <f>IF(D17="","",D17/$B17)</f>
        <v/>
      </c>
      <c r="E45" s="26">
        <f>IF(E17="","",E17/$B17)</f>
        <v/>
      </c>
      <c r="F45" s="26">
        <f>IF(F17="","",F17/$B17)</f>
        <v/>
      </c>
      <c r="G45" s="26">
        <f>IF(G17="","",G17/$B17)</f>
        <v/>
      </c>
      <c r="H45" s="26">
        <f>IF(H17="","",H17/$B17)</f>
        <v/>
      </c>
      <c r="I45" s="26">
        <f>IF(I17="","",I17/$B17)</f>
        <v/>
      </c>
      <c r="J45" s="26">
        <f>IF(J17="","",J17/$B17)</f>
        <v/>
      </c>
      <c r="K45" s="26">
        <f>IF(K17="","",K17/$B17)</f>
        <v/>
      </c>
      <c r="L45" s="26">
        <f>IF(L17="","",L17/$B17)</f>
        <v/>
      </c>
      <c r="M45" s="26">
        <f>IF(M17="","",M17/$B17)</f>
        <v/>
      </c>
      <c r="N45" s="26">
        <f>IF(N17="","",N17/$B17)</f>
        <v/>
      </c>
    </row>
    <row r="46">
      <c r="A46" s="39">
        <f>A18</f>
        <v/>
      </c>
      <c r="B46" s="23">
        <f>B18</f>
        <v/>
      </c>
      <c r="C46" s="26">
        <f>IF(C18="","",C18/$B18)</f>
        <v/>
      </c>
      <c r="D46" s="26">
        <f>IF(D18="","",D18/$B18)</f>
        <v/>
      </c>
      <c r="E46" s="26">
        <f>IF(E18="","",E18/$B18)</f>
        <v/>
      </c>
      <c r="F46" s="26">
        <f>IF(F18="","",F18/$B18)</f>
        <v/>
      </c>
      <c r="G46" s="26">
        <f>IF(G18="","",G18/$B18)</f>
        <v/>
      </c>
      <c r="H46" s="26">
        <f>IF(H18="","",H18/$B18)</f>
        <v/>
      </c>
      <c r="I46" s="26">
        <f>IF(I18="","",I18/$B18)</f>
        <v/>
      </c>
      <c r="J46" s="26">
        <f>IF(J18="","",J18/$B18)</f>
        <v/>
      </c>
      <c r="K46" s="26">
        <f>IF(K18="","",K18/$B18)</f>
        <v/>
      </c>
      <c r="L46" s="26">
        <f>IF(L18="","",L18/$B18)</f>
        <v/>
      </c>
      <c r="M46" s="26">
        <f>IF(M18="","",M18/$B18)</f>
        <v/>
      </c>
      <c r="N46" s="26">
        <f>IF(N18="","",N18/$B18)</f>
        <v/>
      </c>
    </row>
    <row r="47">
      <c r="A47" s="39">
        <f>A19</f>
        <v/>
      </c>
      <c r="B47" s="23">
        <f>B19</f>
        <v/>
      </c>
      <c r="C47" s="26">
        <f>IF(C19="","",C19/$B19)</f>
        <v/>
      </c>
      <c r="D47" s="26">
        <f>IF(D19="","",D19/$B19)</f>
        <v/>
      </c>
      <c r="E47" s="26">
        <f>IF(E19="","",E19/$B19)</f>
        <v/>
      </c>
      <c r="F47" s="26">
        <f>IF(F19="","",F19/$B19)</f>
        <v/>
      </c>
      <c r="G47" s="26">
        <f>IF(G19="","",G19/$B19)</f>
        <v/>
      </c>
      <c r="H47" s="26">
        <f>IF(H19="","",H19/$B19)</f>
        <v/>
      </c>
      <c r="I47" s="26">
        <f>IF(I19="","",I19/$B19)</f>
        <v/>
      </c>
      <c r="J47" s="26">
        <f>IF(J19="","",J19/$B19)</f>
        <v/>
      </c>
      <c r="K47" s="26">
        <f>IF(K19="","",K19/$B19)</f>
        <v/>
      </c>
      <c r="L47" s="26">
        <f>IF(L19="","",L19/$B19)</f>
        <v/>
      </c>
      <c r="M47" s="26">
        <f>IF(M19="","",M19/$B19)</f>
        <v/>
      </c>
      <c r="N47" s="26">
        <f>IF(N19="","",N19/$B19)</f>
        <v/>
      </c>
    </row>
    <row r="48">
      <c r="A48" s="39">
        <f>A20</f>
        <v/>
      </c>
      <c r="B48" s="23">
        <f>B20</f>
        <v/>
      </c>
      <c r="C48" s="26">
        <f>IF(C20="","",C20/$B20)</f>
        <v/>
      </c>
      <c r="D48" s="26">
        <f>IF(D20="","",D20/$B20)</f>
        <v/>
      </c>
      <c r="E48" s="26">
        <f>IF(E20="","",E20/$B20)</f>
        <v/>
      </c>
      <c r="F48" s="26">
        <f>IF(F20="","",F20/$B20)</f>
        <v/>
      </c>
      <c r="G48" s="26">
        <f>IF(G20="","",G20/$B20)</f>
        <v/>
      </c>
      <c r="H48" s="26">
        <f>IF(H20="","",H20/$B20)</f>
        <v/>
      </c>
      <c r="I48" s="26">
        <f>IF(I20="","",I20/$B20)</f>
        <v/>
      </c>
      <c r="J48" s="26">
        <f>IF(J20="","",J20/$B20)</f>
        <v/>
      </c>
      <c r="K48" s="26">
        <f>IF(K20="","",K20/$B20)</f>
        <v/>
      </c>
      <c r="L48" s="26">
        <f>IF(L20="","",L20/$B20)</f>
        <v/>
      </c>
      <c r="M48" s="26">
        <f>IF(M20="","",M20/$B20)</f>
        <v/>
      </c>
      <c r="N48" s="26">
        <f>IF(N20="","",N20/$B20)</f>
        <v/>
      </c>
    </row>
    <row r="49">
      <c r="A49" s="39">
        <f>A21</f>
        <v/>
      </c>
      <c r="B49" s="23">
        <f>B21</f>
        <v/>
      </c>
      <c r="C49" s="26">
        <f>IF(C21="","",C21/$B21)</f>
        <v/>
      </c>
      <c r="D49" s="26">
        <f>IF(D21="","",D21/$B21)</f>
        <v/>
      </c>
      <c r="E49" s="26">
        <f>IF(E21="","",E21/$B21)</f>
        <v/>
      </c>
      <c r="F49" s="26">
        <f>IF(F21="","",F21/$B21)</f>
        <v/>
      </c>
      <c r="G49" s="26">
        <f>IF(G21="","",G21/$B21)</f>
        <v/>
      </c>
      <c r="H49" s="26">
        <f>IF(H21="","",H21/$B21)</f>
        <v/>
      </c>
      <c r="I49" s="26">
        <f>IF(I21="","",I21/$B21)</f>
        <v/>
      </c>
      <c r="J49" s="26">
        <f>IF(J21="","",J21/$B21)</f>
        <v/>
      </c>
      <c r="K49" s="26">
        <f>IF(K21="","",K21/$B21)</f>
        <v/>
      </c>
      <c r="L49" s="26">
        <f>IF(L21="","",L21/$B21)</f>
        <v/>
      </c>
      <c r="M49" s="26">
        <f>IF(M21="","",M21/$B21)</f>
        <v/>
      </c>
      <c r="N49" s="26">
        <f>IF(N21="","",N21/$B21)</f>
        <v/>
      </c>
    </row>
    <row r="50">
      <c r="A50" s="39">
        <f>A22</f>
        <v/>
      </c>
      <c r="B50" s="23">
        <f>B22</f>
        <v/>
      </c>
      <c r="C50" s="26">
        <f>IF(C22="","",C22/$B22)</f>
        <v/>
      </c>
      <c r="D50" s="26">
        <f>IF(D22="","",D22/$B22)</f>
        <v/>
      </c>
      <c r="E50" s="26">
        <f>IF(E22="","",E22/$B22)</f>
        <v/>
      </c>
      <c r="F50" s="26">
        <f>IF(F22="","",F22/$B22)</f>
        <v/>
      </c>
      <c r="G50" s="26">
        <f>IF(G22="","",G22/$B22)</f>
        <v/>
      </c>
      <c r="H50" s="26">
        <f>IF(H22="","",H22/$B22)</f>
        <v/>
      </c>
      <c r="I50" s="26">
        <f>IF(I22="","",I22/$B22)</f>
        <v/>
      </c>
      <c r="J50" s="26">
        <f>IF(J22="","",J22/$B22)</f>
        <v/>
      </c>
      <c r="K50" s="26">
        <f>IF(K22="","",K22/$B22)</f>
        <v/>
      </c>
      <c r="L50" s="26">
        <f>IF(L22="","",L22/$B22)</f>
        <v/>
      </c>
      <c r="M50" s="26">
        <f>IF(M22="","",M22/$B22)</f>
        <v/>
      </c>
      <c r="N50" s="26">
        <f>IF(N22="","",N22/$B22)</f>
        <v/>
      </c>
    </row>
    <row r="51">
      <c r="A51" s="39">
        <f>A23</f>
        <v/>
      </c>
      <c r="B51" s="23">
        <f>B23</f>
        <v/>
      </c>
      <c r="C51" s="26">
        <f>IF(C23="","",C23/$B23)</f>
        <v/>
      </c>
      <c r="D51" s="26">
        <f>IF(D23="","",D23/$B23)</f>
        <v/>
      </c>
      <c r="E51" s="26">
        <f>IF(E23="","",E23/$B23)</f>
        <v/>
      </c>
      <c r="F51" s="26">
        <f>IF(F23="","",F23/$B23)</f>
        <v/>
      </c>
      <c r="G51" s="26">
        <f>IF(G23="","",G23/$B23)</f>
        <v/>
      </c>
      <c r="H51" s="26">
        <f>IF(H23="","",H23/$B23)</f>
        <v/>
      </c>
      <c r="I51" s="26">
        <f>IF(I23="","",I23/$B23)</f>
        <v/>
      </c>
      <c r="J51" s="26">
        <f>IF(J23="","",J23/$B23)</f>
        <v/>
      </c>
      <c r="K51" s="26">
        <f>IF(K23="","",K23/$B23)</f>
        <v/>
      </c>
      <c r="L51" s="26">
        <f>IF(L23="","",L23/$B23)</f>
        <v/>
      </c>
      <c r="M51" s="26">
        <f>IF(M23="","",M23/$B23)</f>
        <v/>
      </c>
      <c r="N51" s="26">
        <f>IF(N23="","",N23/$B23)</f>
        <v/>
      </c>
    </row>
    <row r="52">
      <c r="A52" s="39">
        <f>A24</f>
        <v/>
      </c>
      <c r="B52" s="23">
        <f>B24</f>
        <v/>
      </c>
      <c r="C52" s="26">
        <f>IF(C24="","",C24/$B24)</f>
        <v/>
      </c>
      <c r="D52" s="26">
        <f>IF(D24="","",D24/$B24)</f>
        <v/>
      </c>
      <c r="E52" s="26">
        <f>IF(E24="","",E24/$B24)</f>
        <v/>
      </c>
      <c r="F52" s="26">
        <f>IF(F24="","",F24/$B24)</f>
        <v/>
      </c>
      <c r="G52" s="26">
        <f>IF(G24="","",G24/$B24)</f>
        <v/>
      </c>
      <c r="H52" s="26">
        <f>IF(H24="","",H24/$B24)</f>
        <v/>
      </c>
      <c r="I52" s="26">
        <f>IF(I24="","",I24/$B24)</f>
        <v/>
      </c>
      <c r="J52" s="26">
        <f>IF(J24="","",J24/$B24)</f>
        <v/>
      </c>
      <c r="K52" s="26">
        <f>IF(K24="","",K24/$B24)</f>
        <v/>
      </c>
      <c r="L52" s="26">
        <f>IF(L24="","",L24/$B24)</f>
        <v/>
      </c>
      <c r="M52" s="26">
        <f>IF(M24="","",M24/$B24)</f>
        <v/>
      </c>
      <c r="N52" s="26">
        <f>IF(N24="","",N24/$B24)</f>
        <v/>
      </c>
    </row>
    <row r="53">
      <c r="A53" s="39">
        <f>A25</f>
        <v/>
      </c>
      <c r="B53" s="23">
        <f>B25</f>
        <v/>
      </c>
      <c r="C53" s="26">
        <f>IF(C25="","",C25/$B25)</f>
        <v/>
      </c>
      <c r="D53" s="26">
        <f>IF(D25="","",D25/$B25)</f>
        <v/>
      </c>
      <c r="E53" s="26">
        <f>IF(E25="","",E25/$B25)</f>
        <v/>
      </c>
      <c r="F53" s="26">
        <f>IF(F25="","",F25/$B25)</f>
        <v/>
      </c>
      <c r="G53" s="26">
        <f>IF(G25="","",G25/$B25)</f>
        <v/>
      </c>
      <c r="H53" s="26">
        <f>IF(H25="","",H25/$B25)</f>
        <v/>
      </c>
      <c r="I53" s="26">
        <f>IF(I25="","",I25/$B25)</f>
        <v/>
      </c>
      <c r="J53" s="26">
        <f>IF(J25="","",J25/$B25)</f>
        <v/>
      </c>
      <c r="K53" s="26">
        <f>IF(K25="","",K25/$B25)</f>
        <v/>
      </c>
      <c r="L53" s="26">
        <f>IF(L25="","",L25/$B25)</f>
        <v/>
      </c>
      <c r="M53" s="26">
        <f>IF(M25="","",M25/$B25)</f>
        <v/>
      </c>
      <c r="N53" s="26">
        <f>IF(N25="","",N25/$B25)</f>
        <v/>
      </c>
    </row>
    <row r="54">
      <c r="A54" s="39">
        <f>A26</f>
        <v/>
      </c>
      <c r="B54" s="23">
        <f>B26</f>
        <v/>
      </c>
      <c r="C54" s="26">
        <f>IF(C26="","",C26/$B26)</f>
        <v/>
      </c>
      <c r="D54" s="26">
        <f>IF(D26="","",D26/$B26)</f>
        <v/>
      </c>
      <c r="E54" s="26">
        <f>IF(E26="","",E26/$B26)</f>
        <v/>
      </c>
      <c r="F54" s="26">
        <f>IF(F26="","",F26/$B26)</f>
        <v/>
      </c>
      <c r="G54" s="26">
        <f>IF(G26="","",G26/$B26)</f>
        <v/>
      </c>
      <c r="H54" s="26">
        <f>IF(H26="","",H26/$B26)</f>
        <v/>
      </c>
      <c r="I54" s="26">
        <f>IF(I26="","",I26/$B26)</f>
        <v/>
      </c>
      <c r="J54" s="26">
        <f>IF(J26="","",J26/$B26)</f>
        <v/>
      </c>
      <c r="K54" s="26">
        <f>IF(K26="","",K26/$B26)</f>
        <v/>
      </c>
      <c r="L54" s="26">
        <f>IF(L26="","",L26/$B26)</f>
        <v/>
      </c>
      <c r="M54" s="26">
        <f>IF(M26="","",M26/$B26)</f>
        <v/>
      </c>
      <c r="N54" s="26">
        <f>IF(N26="","",N26/$B26)</f>
        <v/>
      </c>
    </row>
    <row r="55">
      <c r="A55" s="39">
        <f>A27</f>
        <v/>
      </c>
      <c r="B55" s="23">
        <f>B27</f>
        <v/>
      </c>
      <c r="C55" s="26">
        <f>IF(C27="","",C27/$B27)</f>
        <v/>
      </c>
      <c r="D55" s="26">
        <f>IF(D27="","",D27/$B27)</f>
        <v/>
      </c>
      <c r="E55" s="26">
        <f>IF(E27="","",E27/$B27)</f>
        <v/>
      </c>
      <c r="F55" s="26">
        <f>IF(F27="","",F27/$B27)</f>
        <v/>
      </c>
      <c r="G55" s="26">
        <f>IF(G27="","",G27/$B27)</f>
        <v/>
      </c>
      <c r="H55" s="26">
        <f>IF(H27="","",H27/$B27)</f>
        <v/>
      </c>
      <c r="I55" s="26">
        <f>IF(I27="","",I27/$B27)</f>
        <v/>
      </c>
      <c r="J55" s="26">
        <f>IF(J27="","",J27/$B27)</f>
        <v/>
      </c>
      <c r="K55" s="26">
        <f>IF(K27="","",K27/$B27)</f>
        <v/>
      </c>
      <c r="L55" s="26">
        <f>IF(L27="","",L27/$B27)</f>
        <v/>
      </c>
      <c r="M55" s="26">
        <f>IF(M27="","",M27/$B27)</f>
        <v/>
      </c>
      <c r="N55" s="26">
        <f>IF(N27="","",N27/$B27)</f>
        <v/>
      </c>
    </row>
    <row r="56">
      <c r="A56" s="39">
        <f>A28</f>
        <v/>
      </c>
      <c r="B56" s="23">
        <f>B28</f>
        <v/>
      </c>
      <c r="C56" s="26">
        <f>IF(C28="","",C28/$B28)</f>
        <v/>
      </c>
      <c r="D56" s="26">
        <f>IF(D28="","",D28/$B28)</f>
        <v/>
      </c>
      <c r="E56" s="26">
        <f>IF(E28="","",E28/$B28)</f>
        <v/>
      </c>
      <c r="F56" s="26">
        <f>IF(F28="","",F28/$B28)</f>
        <v/>
      </c>
      <c r="G56" s="26">
        <f>IF(G28="","",G28/$B28)</f>
        <v/>
      </c>
      <c r="H56" s="26">
        <f>IF(H28="","",H28/$B28)</f>
        <v/>
      </c>
      <c r="I56" s="26">
        <f>IF(I28="","",I28/$B28)</f>
        <v/>
      </c>
      <c r="J56" s="26">
        <f>IF(J28="","",J28/$B28)</f>
        <v/>
      </c>
      <c r="K56" s="26">
        <f>IF(K28="","",K28/$B28)</f>
        <v/>
      </c>
      <c r="L56" s="26">
        <f>IF(L28="","",L28/$B28)</f>
        <v/>
      </c>
      <c r="M56" s="26">
        <f>IF(M28="","",M28/$B28)</f>
        <v/>
      </c>
      <c r="N56" s="26">
        <f>IF(N28="","",N28/$B28)</f>
        <v/>
      </c>
    </row>
    <row r="57">
      <c r="A57" s="39">
        <f>A29</f>
        <v/>
      </c>
      <c r="B57" s="23">
        <f>B29</f>
        <v/>
      </c>
      <c r="C57" s="26">
        <f>IF(C29="","",C29/$B29)</f>
        <v/>
      </c>
      <c r="D57" s="26">
        <f>IF(D29="","",D29/$B29)</f>
        <v/>
      </c>
      <c r="E57" s="26">
        <f>IF(E29="","",E29/$B29)</f>
        <v/>
      </c>
      <c r="F57" s="26">
        <f>IF(F29="","",F29/$B29)</f>
        <v/>
      </c>
      <c r="G57" s="26">
        <f>IF(G29="","",G29/$B29)</f>
        <v/>
      </c>
      <c r="H57" s="26">
        <f>IF(H29="","",H29/$B29)</f>
        <v/>
      </c>
      <c r="I57" s="26">
        <f>IF(I29="","",I29/$B29)</f>
        <v/>
      </c>
      <c r="J57" s="26">
        <f>IF(J29="","",J29/$B29)</f>
        <v/>
      </c>
      <c r="K57" s="26">
        <f>IF(K29="","",K29/$B29)</f>
        <v/>
      </c>
      <c r="L57" s="26">
        <f>IF(L29="","",L29/$B29)</f>
        <v/>
      </c>
      <c r="M57" s="26">
        <f>IF(M29="","",M29/$B29)</f>
        <v/>
      </c>
      <c r="N57" s="26">
        <f>IF(N29="","",N29/$B29)</f>
        <v/>
      </c>
    </row>
  </sheetData>
  <conditionalFormatting sqref="C34:N57">
    <cfRule type="colorScale" priority="1">
      <colorScale>
        <cfvo type="min"/>
        <cfvo type="max"/>
        <color rgb="00FFFFFF"/>
        <color rgb="005B8DD6"/>
      </colorScale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4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20" customWidth="1" min="14" max="14"/>
  </cols>
  <sheetData>
    <row r="1">
      <c r="A1" s="1" t="inlineStr">
        <is>
          <t>Payback by channel</t>
        </is>
      </c>
    </row>
    <row r="2">
      <c r="A2" s="2" t="inlineStr">
        <is>
          <t>Cumulative gross profit from a channel's sign-ups ÷ the spend that bought them. 100% means the spend has been earned back. Each column only counts sign-ups with that much history.</t>
        </is>
      </c>
    </row>
    <row r="4">
      <c r="A4" s="38" t="inlineStr">
        <is>
          <t>Spend on the sign-ups included</t>
        </is>
      </c>
    </row>
    <row r="5" ht="30" customHeight="1">
      <c r="A5" s="12" t="inlineStr">
        <is>
          <t>Channel</t>
        </is>
      </c>
      <c r="B5" s="12" t="inlineStr">
        <is>
          <t>30 days</t>
        </is>
      </c>
      <c r="C5" s="12" t="inlineStr">
        <is>
          <t>60 days</t>
        </is>
      </c>
      <c r="D5" s="12" t="inlineStr">
        <is>
          <t>90 days</t>
        </is>
      </c>
      <c r="E5" s="12" t="inlineStr">
        <is>
          <t>120 days</t>
        </is>
      </c>
      <c r="F5" s="12" t="inlineStr">
        <is>
          <t>150 days</t>
        </is>
      </c>
      <c r="G5" s="12" t="inlineStr">
        <is>
          <t>180 days</t>
        </is>
      </c>
      <c r="H5" s="12" t="inlineStr">
        <is>
          <t>210 days</t>
        </is>
      </c>
      <c r="I5" s="12" t="inlineStr">
        <is>
          <t>240 days</t>
        </is>
      </c>
      <c r="J5" s="12" t="inlineStr">
        <is>
          <t>270 days</t>
        </is>
      </c>
      <c r="K5" s="12" t="inlineStr">
        <is>
          <t>300 days</t>
        </is>
      </c>
      <c r="L5" s="12" t="inlineStr">
        <is>
          <t>330 days</t>
        </is>
      </c>
      <c r="M5" s="12" t="inlineStr">
        <is>
          <t>360 days</t>
        </is>
      </c>
    </row>
    <row r="6">
      <c r="A6" t="inlineStr">
        <is>
          <t>Affiliate</t>
        </is>
      </c>
      <c r="B6" s="22" t="n">
        <v>144420.31</v>
      </c>
      <c r="C6" s="22" t="n">
        <v>136034.05</v>
      </c>
      <c r="D6" s="22" t="n">
        <v>128981.35</v>
      </c>
      <c r="E6" s="22" t="n">
        <v>122082.76</v>
      </c>
      <c r="F6" s="22" t="n">
        <v>115730.91</v>
      </c>
      <c r="G6" s="22" t="n">
        <v>109666.12</v>
      </c>
      <c r="H6" s="22" t="n">
        <v>103258.8</v>
      </c>
      <c r="I6" s="22" t="n">
        <v>96771.76999999999</v>
      </c>
      <c r="J6" s="22" t="n">
        <v>90163.35999999999</v>
      </c>
      <c r="K6" s="22" t="n">
        <v>83862.32000000001</v>
      </c>
      <c r="L6" s="22" t="n">
        <v>78254.51000000001</v>
      </c>
      <c r="M6" s="22" t="n">
        <v>72560.31000000001</v>
      </c>
    </row>
    <row r="7">
      <c r="A7" t="inlineStr">
        <is>
          <t>Display</t>
        </is>
      </c>
      <c r="B7" s="22" t="n">
        <v>116945.1099999999</v>
      </c>
      <c r="C7" s="22" t="n">
        <v>110070.8999999999</v>
      </c>
      <c r="D7" s="22" t="n">
        <v>104502.6899999999</v>
      </c>
      <c r="E7" s="22" t="n">
        <v>99301.16999999993</v>
      </c>
      <c r="F7" s="22" t="n">
        <v>94210.30999999994</v>
      </c>
      <c r="G7" s="22" t="n">
        <v>89460.17999999993</v>
      </c>
      <c r="H7" s="22" t="n">
        <v>84634.62999999996</v>
      </c>
      <c r="I7" s="22" t="n">
        <v>79363.32999999996</v>
      </c>
      <c r="J7" s="22" t="n">
        <v>74275.40999999997</v>
      </c>
      <c r="K7" s="22" t="n">
        <v>69132.04999999997</v>
      </c>
      <c r="L7" s="22" t="n">
        <v>64554.47999999999</v>
      </c>
      <c r="M7" s="22" t="n">
        <v>60106.43999999998</v>
      </c>
    </row>
    <row r="8">
      <c r="A8" t="inlineStr">
        <is>
          <t>Email</t>
        </is>
      </c>
      <c r="B8" s="22" t="n">
        <v>41451.99000000006</v>
      </c>
      <c r="C8" s="22" t="n">
        <v>39187.92000000006</v>
      </c>
      <c r="D8" s="22" t="n">
        <v>37233.86000000006</v>
      </c>
      <c r="E8" s="22" t="n">
        <v>35284.76000000004</v>
      </c>
      <c r="F8" s="22" t="n">
        <v>33549.07000000001</v>
      </c>
      <c r="G8" s="22" t="n">
        <v>31833.21000000001</v>
      </c>
      <c r="H8" s="22" t="n">
        <v>30015.79000000001</v>
      </c>
      <c r="I8" s="22" t="n">
        <v>28090.90000000001</v>
      </c>
      <c r="J8" s="22" t="n">
        <v>26306.39000000001</v>
      </c>
      <c r="K8" s="22" t="n">
        <v>24535.56000000001</v>
      </c>
      <c r="L8" s="22" t="n">
        <v>22928.12000000001</v>
      </c>
      <c r="M8" s="22" t="n">
        <v>21407.69000000001</v>
      </c>
    </row>
    <row r="9">
      <c r="A9" t="inlineStr">
        <is>
          <t>Paid Search</t>
        </is>
      </c>
      <c r="B9" s="22" t="n">
        <v>297101.57</v>
      </c>
      <c r="C9" s="22" t="n">
        <v>283070.6299999999</v>
      </c>
      <c r="D9" s="22" t="n">
        <v>271508.5099999999</v>
      </c>
      <c r="E9" s="22" t="n">
        <v>260690.4899999999</v>
      </c>
      <c r="F9" s="22" t="n">
        <v>250454.5899999998</v>
      </c>
      <c r="G9" s="22" t="n">
        <v>240518.9999999998</v>
      </c>
      <c r="H9" s="22" t="n">
        <v>227864.14</v>
      </c>
      <c r="I9" s="22" t="n">
        <v>213930.8</v>
      </c>
      <c r="J9" s="22" t="n">
        <v>200541.75</v>
      </c>
      <c r="K9" s="22" t="n">
        <v>187538.42</v>
      </c>
      <c r="L9" s="22" t="n">
        <v>175018.88</v>
      </c>
      <c r="M9" s="22" t="n">
        <v>163159.1999999999</v>
      </c>
    </row>
    <row r="10">
      <c r="A10" t="inlineStr">
        <is>
          <t>Paid Social</t>
        </is>
      </c>
      <c r="B10" s="22" t="n">
        <v>465727.0399999999</v>
      </c>
      <c r="C10" s="22" t="n">
        <v>416969.8399999999</v>
      </c>
      <c r="D10" s="22" t="n">
        <v>377679.6399999999</v>
      </c>
      <c r="E10" s="22" t="n">
        <v>354484.78</v>
      </c>
      <c r="F10" s="22" t="n">
        <v>338175.6699999999</v>
      </c>
      <c r="G10" s="22" t="n">
        <v>323172.7499999999</v>
      </c>
      <c r="H10" s="22" t="n">
        <v>307963.1299999998</v>
      </c>
      <c r="I10" s="22" t="n">
        <v>291108.2599999999</v>
      </c>
      <c r="J10" s="22" t="n">
        <v>275401.3199999999</v>
      </c>
      <c r="K10" s="22" t="n">
        <v>259358.2699999999</v>
      </c>
      <c r="L10" s="22" t="n">
        <v>244971.2299999999</v>
      </c>
      <c r="M10" s="22" t="n">
        <v>230204.7</v>
      </c>
    </row>
    <row r="11">
      <c r="A11" t="inlineStr">
        <is>
          <t>Referral</t>
        </is>
      </c>
      <c r="B11" s="22" t="n">
        <v>55874.60999999999</v>
      </c>
      <c r="C11" s="22" t="n">
        <v>52768.39999999998</v>
      </c>
      <c r="D11" s="22" t="n">
        <v>50158.07</v>
      </c>
      <c r="E11" s="22" t="n">
        <v>47593.38</v>
      </c>
      <c r="F11" s="22" t="n">
        <v>45254.92000000001</v>
      </c>
      <c r="G11" s="22" t="n">
        <v>42938.33000000002</v>
      </c>
      <c r="H11" s="22" t="n">
        <v>40508.45000000003</v>
      </c>
      <c r="I11" s="22" t="n">
        <v>38018.95000000002</v>
      </c>
      <c r="J11" s="22" t="n">
        <v>35473.14000000002</v>
      </c>
      <c r="K11" s="22" t="n">
        <v>33064.05000000001</v>
      </c>
      <c r="L11" s="22" t="n">
        <v>30795.95000000002</v>
      </c>
      <c r="M11" s="22" t="n">
        <v>28644.89000000002</v>
      </c>
    </row>
    <row r="12">
      <c r="A12" t="inlineStr">
        <is>
          <t>Video</t>
        </is>
      </c>
      <c r="B12" s="22" t="n">
        <v>83343.74000000003</v>
      </c>
      <c r="C12" s="22" t="n">
        <v>77316.84000000005</v>
      </c>
      <c r="D12" s="22" t="n">
        <v>72208.41000000002</v>
      </c>
      <c r="E12" s="22" t="n">
        <v>67468.05000000003</v>
      </c>
      <c r="F12" s="22" t="n">
        <v>62753.22000000002</v>
      </c>
      <c r="G12" s="22" t="n">
        <v>58552.13000000001</v>
      </c>
      <c r="H12" s="22" t="n">
        <v>54154.68000000001</v>
      </c>
      <c r="I12" s="22" t="n">
        <v>49570.69999999999</v>
      </c>
      <c r="J12" s="22" t="n">
        <v>45194.17999999999</v>
      </c>
      <c r="K12" s="22" t="n">
        <v>40692.65000000001</v>
      </c>
      <c r="L12" s="22" t="n">
        <v>36868.92000000001</v>
      </c>
      <c r="M12" s="22" t="n">
        <v>33123.3</v>
      </c>
    </row>
    <row r="15">
      <c r="A15" s="38" t="inlineStr">
        <is>
          <t>Cumulative gross profit from those sign-ups</t>
        </is>
      </c>
    </row>
    <row r="16" ht="30" customHeight="1">
      <c r="A16" s="12" t="inlineStr">
        <is>
          <t>Channel</t>
        </is>
      </c>
      <c r="B16" s="12" t="inlineStr">
        <is>
          <t>30 days</t>
        </is>
      </c>
      <c r="C16" s="12" t="inlineStr">
        <is>
          <t>60 days</t>
        </is>
      </c>
      <c r="D16" s="12" t="inlineStr">
        <is>
          <t>90 days</t>
        </is>
      </c>
      <c r="E16" s="12" t="inlineStr">
        <is>
          <t>120 days</t>
        </is>
      </c>
      <c r="F16" s="12" t="inlineStr">
        <is>
          <t>150 days</t>
        </is>
      </c>
      <c r="G16" s="12" t="inlineStr">
        <is>
          <t>180 days</t>
        </is>
      </c>
      <c r="H16" s="12" t="inlineStr">
        <is>
          <t>210 days</t>
        </is>
      </c>
      <c r="I16" s="12" t="inlineStr">
        <is>
          <t>240 days</t>
        </is>
      </c>
      <c r="J16" s="12" t="inlineStr">
        <is>
          <t>270 days</t>
        </is>
      </c>
      <c r="K16" s="12" t="inlineStr">
        <is>
          <t>300 days</t>
        </is>
      </c>
      <c r="L16" s="12" t="inlineStr">
        <is>
          <t>330 days</t>
        </is>
      </c>
      <c r="M16" s="12" t="inlineStr">
        <is>
          <t>360 days</t>
        </is>
      </c>
    </row>
    <row r="17">
      <c r="A17" t="inlineStr">
        <is>
          <t>Affiliate</t>
        </is>
      </c>
      <c r="B17" s="22" t="n">
        <v>122514.65</v>
      </c>
      <c r="C17" s="22" t="n">
        <v>151338.33</v>
      </c>
      <c r="D17" s="22" t="n">
        <v>170239.2399999999</v>
      </c>
      <c r="E17" s="22" t="n">
        <v>178440.7399999996</v>
      </c>
      <c r="F17" s="22" t="n">
        <v>182619.9399999999</v>
      </c>
      <c r="G17" s="22" t="n">
        <v>184052.3000000001</v>
      </c>
      <c r="H17" s="22" t="n">
        <v>180278.4899999998</v>
      </c>
      <c r="I17" s="22" t="n">
        <v>174035.1499999998</v>
      </c>
      <c r="J17" s="22" t="n">
        <v>164921.5299999999</v>
      </c>
      <c r="K17" s="22" t="n">
        <v>153606.89</v>
      </c>
      <c r="L17" s="22" t="n">
        <v>145801.7500000001</v>
      </c>
      <c r="M17" s="22" t="n">
        <v>137551.63</v>
      </c>
    </row>
    <row r="18">
      <c r="A18" t="inlineStr">
        <is>
          <t>Display</t>
        </is>
      </c>
      <c r="B18" s="22" t="n">
        <v>8499.729999999992</v>
      </c>
      <c r="C18" s="22" t="n">
        <v>11645.86999999999</v>
      </c>
      <c r="D18" s="22" t="n">
        <v>12646.76</v>
      </c>
      <c r="E18" s="22" t="n">
        <v>13051.10999999999</v>
      </c>
      <c r="F18" s="22" t="n">
        <v>12782.59999999999</v>
      </c>
      <c r="G18" s="22" t="n">
        <v>12600.11999999999</v>
      </c>
      <c r="H18" s="22" t="n">
        <v>12243.50999999999</v>
      </c>
      <c r="I18" s="22" t="n">
        <v>11196.91999999999</v>
      </c>
      <c r="J18" s="22" t="n">
        <v>10701.48999999999</v>
      </c>
      <c r="K18" s="22" t="n">
        <v>10083.55999999999</v>
      </c>
      <c r="L18" s="22" t="n">
        <v>9063.359999999995</v>
      </c>
      <c r="M18" s="22" t="n">
        <v>8672.259999999997</v>
      </c>
    </row>
    <row r="19">
      <c r="A19" t="inlineStr">
        <is>
          <t>Email</t>
        </is>
      </c>
      <c r="B19" s="22" t="n">
        <v>28943.05000000004</v>
      </c>
      <c r="C19" s="22" t="n">
        <v>35296.07000000002</v>
      </c>
      <c r="D19" s="22" t="n">
        <v>38797.89000000002</v>
      </c>
      <c r="E19" s="22" t="n">
        <v>40243.06000000003</v>
      </c>
      <c r="F19" s="22" t="n">
        <v>40618.71000000004</v>
      </c>
      <c r="G19" s="22" t="n">
        <v>39874.85000000001</v>
      </c>
      <c r="H19" s="22" t="n">
        <v>39281.84</v>
      </c>
      <c r="I19" s="22" t="n">
        <v>37606.86999999998</v>
      </c>
      <c r="J19" s="22" t="n">
        <v>36163.22000000001</v>
      </c>
      <c r="K19" s="22" t="n">
        <v>34760.19</v>
      </c>
      <c r="L19" s="22" t="n">
        <v>33133.12</v>
      </c>
      <c r="M19" s="22" t="n">
        <v>31323.29999999999</v>
      </c>
    </row>
    <row r="20">
      <c r="A20" t="inlineStr">
        <is>
          <t>Paid Search</t>
        </is>
      </c>
      <c r="B20" s="22" t="n">
        <v>191993.82</v>
      </c>
      <c r="C20" s="22" t="n">
        <v>243374.3599999999</v>
      </c>
      <c r="D20" s="22" t="n">
        <v>274743.2799999999</v>
      </c>
      <c r="E20" s="22" t="n">
        <v>292543.8399999997</v>
      </c>
      <c r="F20" s="22" t="n">
        <v>303288.3899999997</v>
      </c>
      <c r="G20" s="22" t="n">
        <v>308060.5199999997</v>
      </c>
      <c r="H20" s="22" t="n">
        <v>305114.3599999996</v>
      </c>
      <c r="I20" s="22" t="n">
        <v>294116.5699999997</v>
      </c>
      <c r="J20" s="22" t="n">
        <v>282675.8399999999</v>
      </c>
      <c r="K20" s="22" t="n">
        <v>268056.7100000002</v>
      </c>
      <c r="L20" s="22" t="n">
        <v>255775.2300000002</v>
      </c>
      <c r="M20" s="22" t="n">
        <v>241744.5400000002</v>
      </c>
    </row>
    <row r="21">
      <c r="A21" t="inlineStr">
        <is>
          <t>Paid Social</t>
        </is>
      </c>
      <c r="B21" s="22" t="n">
        <v>169477.7100000001</v>
      </c>
      <c r="C21" s="22" t="n">
        <v>204352.97</v>
      </c>
      <c r="D21" s="22" t="n">
        <v>215910.9500000002</v>
      </c>
      <c r="E21" s="22" t="n">
        <v>223675.2800000002</v>
      </c>
      <c r="F21" s="22" t="n">
        <v>227723.5100000003</v>
      </c>
      <c r="G21" s="22" t="n">
        <v>227659.3000000001</v>
      </c>
      <c r="H21" s="22" t="n">
        <v>224401.5600000002</v>
      </c>
      <c r="I21" s="22" t="n">
        <v>217004.7800000002</v>
      </c>
      <c r="J21" s="22" t="n">
        <v>209622.3500000003</v>
      </c>
      <c r="K21" s="22" t="n">
        <v>201228.4100000004</v>
      </c>
      <c r="L21" s="22" t="n">
        <v>192771.8100000003</v>
      </c>
      <c r="M21" s="22" t="n">
        <v>183628.3400000003</v>
      </c>
    </row>
    <row r="22">
      <c r="A22" t="inlineStr">
        <is>
          <t>Referral</t>
        </is>
      </c>
      <c r="B22" s="22" t="n">
        <v>47176.51000000004</v>
      </c>
      <c r="C22" s="22" t="n">
        <v>61425.94999999992</v>
      </c>
      <c r="D22" s="22" t="n">
        <v>71078.98000000003</v>
      </c>
      <c r="E22" s="22" t="n">
        <v>77283.69000000006</v>
      </c>
      <c r="F22" s="22" t="n">
        <v>79647.61999999984</v>
      </c>
      <c r="G22" s="22" t="n">
        <v>78048.32999999978</v>
      </c>
      <c r="H22" s="22" t="n">
        <v>77500.6399999998</v>
      </c>
      <c r="I22" s="22" t="n">
        <v>75616.66999999982</v>
      </c>
      <c r="J22" s="22" t="n">
        <v>72757.01999999995</v>
      </c>
      <c r="K22" s="22" t="n">
        <v>70102.81999999996</v>
      </c>
      <c r="L22" s="22" t="n">
        <v>66628.93999999997</v>
      </c>
      <c r="M22" s="22" t="n">
        <v>64259.25999999997</v>
      </c>
    </row>
    <row r="23">
      <c r="A23" t="inlineStr">
        <is>
          <t>Video</t>
        </is>
      </c>
      <c r="B23" s="22" t="n">
        <v>40881.43999999995</v>
      </c>
      <c r="C23" s="22" t="n">
        <v>50581.88999999996</v>
      </c>
      <c r="D23" s="22" t="n">
        <v>55887.48999999996</v>
      </c>
      <c r="E23" s="22" t="n">
        <v>58399.11999999997</v>
      </c>
      <c r="F23" s="22" t="n">
        <v>59210.14999999991</v>
      </c>
      <c r="G23" s="22" t="n">
        <v>58837.59999999995</v>
      </c>
      <c r="H23" s="22" t="n">
        <v>57718.74999999996</v>
      </c>
      <c r="I23" s="22" t="n">
        <v>53354.49999999994</v>
      </c>
      <c r="J23" s="22" t="n">
        <v>49897.65999999995</v>
      </c>
      <c r="K23" s="22" t="n">
        <v>45121.87999999995</v>
      </c>
      <c r="L23" s="22" t="n">
        <v>41147.56999999993</v>
      </c>
      <c r="M23" s="22" t="n">
        <v>38325.54999999998</v>
      </c>
    </row>
    <row r="26">
      <c r="A26" s="38" t="inlineStr">
        <is>
          <t>Payback ratio (gross profit ÷ spend)</t>
        </is>
      </c>
    </row>
    <row r="27" ht="30" customHeight="1">
      <c r="A27" s="12" t="inlineStr">
        <is>
          <t>Channel</t>
        </is>
      </c>
      <c r="B27" s="12" t="inlineStr">
        <is>
          <t>30 days</t>
        </is>
      </c>
      <c r="C27" s="12" t="inlineStr">
        <is>
          <t>60 days</t>
        </is>
      </c>
      <c r="D27" s="12" t="inlineStr">
        <is>
          <t>90 days</t>
        </is>
      </c>
      <c r="E27" s="12" t="inlineStr">
        <is>
          <t>120 days</t>
        </is>
      </c>
      <c r="F27" s="12" t="inlineStr">
        <is>
          <t>150 days</t>
        </is>
      </c>
      <c r="G27" s="12" t="inlineStr">
        <is>
          <t>180 days</t>
        </is>
      </c>
      <c r="H27" s="12" t="inlineStr">
        <is>
          <t>210 days</t>
        </is>
      </c>
      <c r="I27" s="12" t="inlineStr">
        <is>
          <t>240 days</t>
        </is>
      </c>
      <c r="J27" s="12" t="inlineStr">
        <is>
          <t>270 days</t>
        </is>
      </c>
      <c r="K27" s="12" t="inlineStr">
        <is>
          <t>300 days</t>
        </is>
      </c>
      <c r="L27" s="12" t="inlineStr">
        <is>
          <t>330 days</t>
        </is>
      </c>
      <c r="M27" s="12" t="inlineStr">
        <is>
          <t>360 days</t>
        </is>
      </c>
      <c r="N27" s="12" t="inlineStr">
        <is>
          <t>Pays back within</t>
        </is>
      </c>
    </row>
    <row r="28">
      <c r="A28" t="inlineStr">
        <is>
          <t>Affiliate</t>
        </is>
      </c>
      <c r="B28" s="28">
        <f>IF(OR(B6="",B6=0),"",B17/B6)</f>
        <v/>
      </c>
      <c r="C28" s="28">
        <f>IF(OR(C6="",C6=0),"",C17/C6)</f>
        <v/>
      </c>
      <c r="D28" s="28">
        <f>IF(OR(D6="",D6=0),"",D17/D6)</f>
        <v/>
      </c>
      <c r="E28" s="28">
        <f>IF(OR(E6="",E6=0),"",E17/E6)</f>
        <v/>
      </c>
      <c r="F28" s="28">
        <f>IF(OR(F6="",F6=0),"",F17/F6)</f>
        <v/>
      </c>
      <c r="G28" s="28">
        <f>IF(OR(G6="",G6=0),"",G17/G6)</f>
        <v/>
      </c>
      <c r="H28" s="28">
        <f>IF(OR(H6="",H6=0),"",H17/H6)</f>
        <v/>
      </c>
      <c r="I28" s="28">
        <f>IF(OR(I6="",I6=0),"",I17/I6)</f>
        <v/>
      </c>
      <c r="J28" s="28">
        <f>IF(OR(J6="",J6=0),"",J17/J6)</f>
        <v/>
      </c>
      <c r="K28" s="28">
        <f>IF(OR(K6="",K6=0),"",K17/K6)</f>
        <v/>
      </c>
      <c r="L28" s="28">
        <f>IF(OR(L6="",L6=0),"",L17/L6)</f>
        <v/>
      </c>
      <c r="M28" s="28">
        <f>IF(OR(M6="",M6=0),"",M17/M6)</f>
        <v/>
      </c>
      <c r="N28" s="40">
        <f>IFERROR(INDEX($B$27:$M$27,MATCH(1,B41:M41,0)),"Not within 12 months")</f>
        <v/>
      </c>
    </row>
    <row r="29">
      <c r="A29" t="inlineStr">
        <is>
          <t>Display</t>
        </is>
      </c>
      <c r="B29" s="28">
        <f>IF(OR(B7="",B7=0),"",B18/B7)</f>
        <v/>
      </c>
      <c r="C29" s="28">
        <f>IF(OR(C7="",C7=0),"",C18/C7)</f>
        <v/>
      </c>
      <c r="D29" s="28">
        <f>IF(OR(D7="",D7=0),"",D18/D7)</f>
        <v/>
      </c>
      <c r="E29" s="28">
        <f>IF(OR(E7="",E7=0),"",E18/E7)</f>
        <v/>
      </c>
      <c r="F29" s="28">
        <f>IF(OR(F7="",F7=0),"",F18/F7)</f>
        <v/>
      </c>
      <c r="G29" s="28">
        <f>IF(OR(G7="",G7=0),"",G18/G7)</f>
        <v/>
      </c>
      <c r="H29" s="28">
        <f>IF(OR(H7="",H7=0),"",H18/H7)</f>
        <v/>
      </c>
      <c r="I29" s="28">
        <f>IF(OR(I7="",I7=0),"",I18/I7)</f>
        <v/>
      </c>
      <c r="J29" s="28">
        <f>IF(OR(J7="",J7=0),"",J18/J7)</f>
        <v/>
      </c>
      <c r="K29" s="28">
        <f>IF(OR(K7="",K7=0),"",K18/K7)</f>
        <v/>
      </c>
      <c r="L29" s="28">
        <f>IF(OR(L7="",L7=0),"",L18/L7)</f>
        <v/>
      </c>
      <c r="M29" s="28">
        <f>IF(OR(M7="",M7=0),"",M18/M7)</f>
        <v/>
      </c>
      <c r="N29" s="40">
        <f>IFERROR(INDEX($B$27:$M$27,MATCH(1,B42:M42,0)),"Not within 12 months")</f>
        <v/>
      </c>
    </row>
    <row r="30">
      <c r="A30" t="inlineStr">
        <is>
          <t>Email</t>
        </is>
      </c>
      <c r="B30" s="28">
        <f>IF(OR(B8="",B8=0),"",B19/B8)</f>
        <v/>
      </c>
      <c r="C30" s="28">
        <f>IF(OR(C8="",C8=0),"",C19/C8)</f>
        <v/>
      </c>
      <c r="D30" s="28">
        <f>IF(OR(D8="",D8=0),"",D19/D8)</f>
        <v/>
      </c>
      <c r="E30" s="28">
        <f>IF(OR(E8="",E8=0),"",E19/E8)</f>
        <v/>
      </c>
      <c r="F30" s="28">
        <f>IF(OR(F8="",F8=0),"",F19/F8)</f>
        <v/>
      </c>
      <c r="G30" s="28">
        <f>IF(OR(G8="",G8=0),"",G19/G8)</f>
        <v/>
      </c>
      <c r="H30" s="28">
        <f>IF(OR(H8="",H8=0),"",H19/H8)</f>
        <v/>
      </c>
      <c r="I30" s="28">
        <f>IF(OR(I8="",I8=0),"",I19/I8)</f>
        <v/>
      </c>
      <c r="J30" s="28">
        <f>IF(OR(J8="",J8=0),"",J19/J8)</f>
        <v/>
      </c>
      <c r="K30" s="28">
        <f>IF(OR(K8="",K8=0),"",K19/K8)</f>
        <v/>
      </c>
      <c r="L30" s="28">
        <f>IF(OR(L8="",L8=0),"",L19/L8)</f>
        <v/>
      </c>
      <c r="M30" s="28">
        <f>IF(OR(M8="",M8=0),"",M19/M8)</f>
        <v/>
      </c>
      <c r="N30" s="40">
        <f>IFERROR(INDEX($B$27:$M$27,MATCH(1,B43:M43,0)),"Not within 12 months")</f>
        <v/>
      </c>
    </row>
    <row r="31">
      <c r="A31" t="inlineStr">
        <is>
          <t>Paid Search</t>
        </is>
      </c>
      <c r="B31" s="28">
        <f>IF(OR(B9="",B9=0),"",B20/B9)</f>
        <v/>
      </c>
      <c r="C31" s="28">
        <f>IF(OR(C9="",C9=0),"",C20/C9)</f>
        <v/>
      </c>
      <c r="D31" s="28">
        <f>IF(OR(D9="",D9=0),"",D20/D9)</f>
        <v/>
      </c>
      <c r="E31" s="28">
        <f>IF(OR(E9="",E9=0),"",E20/E9)</f>
        <v/>
      </c>
      <c r="F31" s="28">
        <f>IF(OR(F9="",F9=0),"",F20/F9)</f>
        <v/>
      </c>
      <c r="G31" s="28">
        <f>IF(OR(G9="",G9=0),"",G20/G9)</f>
        <v/>
      </c>
      <c r="H31" s="28">
        <f>IF(OR(H9="",H9=0),"",H20/H9)</f>
        <v/>
      </c>
      <c r="I31" s="28">
        <f>IF(OR(I9="",I9=0),"",I20/I9)</f>
        <v/>
      </c>
      <c r="J31" s="28">
        <f>IF(OR(J9="",J9=0),"",J20/J9)</f>
        <v/>
      </c>
      <c r="K31" s="28">
        <f>IF(OR(K9="",K9=0),"",K20/K9)</f>
        <v/>
      </c>
      <c r="L31" s="28">
        <f>IF(OR(L9="",L9=0),"",L20/L9)</f>
        <v/>
      </c>
      <c r="M31" s="28">
        <f>IF(OR(M9="",M9=0),"",M20/M9)</f>
        <v/>
      </c>
      <c r="N31" s="40">
        <f>IFERROR(INDEX($B$27:$M$27,MATCH(1,B44:M44,0)),"Not within 12 months")</f>
        <v/>
      </c>
    </row>
    <row r="32">
      <c r="A32" t="inlineStr">
        <is>
          <t>Paid Social</t>
        </is>
      </c>
      <c r="B32" s="28">
        <f>IF(OR(B10="",B10=0),"",B21/B10)</f>
        <v/>
      </c>
      <c r="C32" s="28">
        <f>IF(OR(C10="",C10=0),"",C21/C10)</f>
        <v/>
      </c>
      <c r="D32" s="28">
        <f>IF(OR(D10="",D10=0),"",D21/D10)</f>
        <v/>
      </c>
      <c r="E32" s="28">
        <f>IF(OR(E10="",E10=0),"",E21/E10)</f>
        <v/>
      </c>
      <c r="F32" s="28">
        <f>IF(OR(F10="",F10=0),"",F21/F10)</f>
        <v/>
      </c>
      <c r="G32" s="28">
        <f>IF(OR(G10="",G10=0),"",G21/G10)</f>
        <v/>
      </c>
      <c r="H32" s="28">
        <f>IF(OR(H10="",H10=0),"",H21/H10)</f>
        <v/>
      </c>
      <c r="I32" s="28">
        <f>IF(OR(I10="",I10=0),"",I21/I10)</f>
        <v/>
      </c>
      <c r="J32" s="28">
        <f>IF(OR(J10="",J10=0),"",J21/J10)</f>
        <v/>
      </c>
      <c r="K32" s="28">
        <f>IF(OR(K10="",K10=0),"",K21/K10)</f>
        <v/>
      </c>
      <c r="L32" s="28">
        <f>IF(OR(L10="",L10=0),"",L21/L10)</f>
        <v/>
      </c>
      <c r="M32" s="28">
        <f>IF(OR(M10="",M10=0),"",M21/M10)</f>
        <v/>
      </c>
      <c r="N32" s="40">
        <f>IFERROR(INDEX($B$27:$M$27,MATCH(1,B45:M45,0)),"Not within 12 months")</f>
        <v/>
      </c>
    </row>
    <row r="33">
      <c r="A33" t="inlineStr">
        <is>
          <t>Referral</t>
        </is>
      </c>
      <c r="B33" s="28">
        <f>IF(OR(B11="",B11=0),"",B22/B11)</f>
        <v/>
      </c>
      <c r="C33" s="28">
        <f>IF(OR(C11="",C11=0),"",C22/C11)</f>
        <v/>
      </c>
      <c r="D33" s="28">
        <f>IF(OR(D11="",D11=0),"",D22/D11)</f>
        <v/>
      </c>
      <c r="E33" s="28">
        <f>IF(OR(E11="",E11=0),"",E22/E11)</f>
        <v/>
      </c>
      <c r="F33" s="28">
        <f>IF(OR(F11="",F11=0),"",F22/F11)</f>
        <v/>
      </c>
      <c r="G33" s="28">
        <f>IF(OR(G11="",G11=0),"",G22/G11)</f>
        <v/>
      </c>
      <c r="H33" s="28">
        <f>IF(OR(H11="",H11=0),"",H22/H11)</f>
        <v/>
      </c>
      <c r="I33" s="28">
        <f>IF(OR(I11="",I11=0),"",I22/I11)</f>
        <v/>
      </c>
      <c r="J33" s="28">
        <f>IF(OR(J11="",J11=0),"",J22/J11)</f>
        <v/>
      </c>
      <c r="K33" s="28">
        <f>IF(OR(K11="",K11=0),"",K22/K11)</f>
        <v/>
      </c>
      <c r="L33" s="28">
        <f>IF(OR(L11="",L11=0),"",L22/L11)</f>
        <v/>
      </c>
      <c r="M33" s="28">
        <f>IF(OR(M11="",M11=0),"",M22/M11)</f>
        <v/>
      </c>
      <c r="N33" s="40">
        <f>IFERROR(INDEX($B$27:$M$27,MATCH(1,B46:M46,0)),"Not within 12 months")</f>
        <v/>
      </c>
    </row>
    <row r="34">
      <c r="A34" t="inlineStr">
        <is>
          <t>Video</t>
        </is>
      </c>
      <c r="B34" s="28">
        <f>IF(OR(B12="",B12=0),"",B23/B12)</f>
        <v/>
      </c>
      <c r="C34" s="28">
        <f>IF(OR(C12="",C12=0),"",C23/C12)</f>
        <v/>
      </c>
      <c r="D34" s="28">
        <f>IF(OR(D12="",D12=0),"",D23/D12)</f>
        <v/>
      </c>
      <c r="E34" s="28">
        <f>IF(OR(E12="",E12=0),"",E23/E12)</f>
        <v/>
      </c>
      <c r="F34" s="28">
        <f>IF(OR(F12="",F12=0),"",F23/F12)</f>
        <v/>
      </c>
      <c r="G34" s="28">
        <f>IF(OR(G12="",G12=0),"",G23/G12)</f>
        <v/>
      </c>
      <c r="H34" s="28">
        <f>IF(OR(H12="",H12=0),"",H23/H12)</f>
        <v/>
      </c>
      <c r="I34" s="28">
        <f>IF(OR(I12="",I12=0),"",I23/I12)</f>
        <v/>
      </c>
      <c r="J34" s="28">
        <f>IF(OR(J12="",J12=0),"",J23/J12)</f>
        <v/>
      </c>
      <c r="K34" s="28">
        <f>IF(OR(K12="",K12=0),"",K23/K12)</f>
        <v/>
      </c>
      <c r="L34" s="28">
        <f>IF(OR(L12="",L12=0),"",L23/L12)</f>
        <v/>
      </c>
      <c r="M34" s="28">
        <f>IF(OR(M12="",M12=0),"",M23/M12)</f>
        <v/>
      </c>
      <c r="N34" s="40">
        <f>IFERROR(INDEX($B$27:$M$27,MATCH(1,B47:M47,0)),"Not within 12 months")</f>
        <v/>
      </c>
    </row>
    <row r="35">
      <c r="A35" s="41" t="inlineStr">
        <is>
          <t>Break-even</t>
        </is>
      </c>
      <c r="B35" s="42" t="n">
        <v>1</v>
      </c>
      <c r="C35" s="42" t="n">
        <v>1</v>
      </c>
      <c r="D35" s="42" t="n">
        <v>1</v>
      </c>
      <c r="E35" s="42" t="n">
        <v>1</v>
      </c>
      <c r="F35" s="42" t="n">
        <v>1</v>
      </c>
      <c r="G35" s="42" t="n">
        <v>1</v>
      </c>
      <c r="H35" s="42" t="n">
        <v>1</v>
      </c>
      <c r="I35" s="42" t="n">
        <v>1</v>
      </c>
      <c r="J35" s="42" t="n">
        <v>1</v>
      </c>
      <c r="K35" s="42" t="n">
        <v>1</v>
      </c>
      <c r="L35" s="42" t="n">
        <v>1</v>
      </c>
      <c r="M35" s="42" t="n">
        <v>1</v>
      </c>
    </row>
    <row r="39">
      <c r="A39" s="38" t="inlineStr">
        <is>
          <t>Helper: 1 once the channel has paid back (feeds 'Pays back within')</t>
        </is>
      </c>
    </row>
    <row r="40" ht="30" customHeight="1">
      <c r="A40" s="12" t="inlineStr">
        <is>
          <t>Channel</t>
        </is>
      </c>
      <c r="B40" s="12" t="inlineStr">
        <is>
          <t>30 days</t>
        </is>
      </c>
      <c r="C40" s="12" t="inlineStr">
        <is>
          <t>60 days</t>
        </is>
      </c>
      <c r="D40" s="12" t="inlineStr">
        <is>
          <t>90 days</t>
        </is>
      </c>
      <c r="E40" s="12" t="inlineStr">
        <is>
          <t>120 days</t>
        </is>
      </c>
      <c r="F40" s="12" t="inlineStr">
        <is>
          <t>150 days</t>
        </is>
      </c>
      <c r="G40" s="12" t="inlineStr">
        <is>
          <t>180 days</t>
        </is>
      </c>
      <c r="H40" s="12" t="inlineStr">
        <is>
          <t>210 days</t>
        </is>
      </c>
      <c r="I40" s="12" t="inlineStr">
        <is>
          <t>240 days</t>
        </is>
      </c>
      <c r="J40" s="12" t="inlineStr">
        <is>
          <t>270 days</t>
        </is>
      </c>
      <c r="K40" s="12" t="inlineStr">
        <is>
          <t>300 days</t>
        </is>
      </c>
      <c r="L40" s="12" t="inlineStr">
        <is>
          <t>330 days</t>
        </is>
      </c>
      <c r="M40" s="12" t="inlineStr">
        <is>
          <t>360 days</t>
        </is>
      </c>
    </row>
    <row r="41">
      <c r="A41" s="43" t="inlineStr">
        <is>
          <t>Affiliate</t>
        </is>
      </c>
      <c r="B41" s="43">
        <f>IF(AND(ISNUMBER(B28),B28&gt;=1),1,0)</f>
        <v/>
      </c>
      <c r="C41" s="43">
        <f>IF(AND(ISNUMBER(C28),C28&gt;=1),1,0)</f>
        <v/>
      </c>
      <c r="D41" s="43">
        <f>IF(AND(ISNUMBER(D28),D28&gt;=1),1,0)</f>
        <v/>
      </c>
      <c r="E41" s="43">
        <f>IF(AND(ISNUMBER(E28),E28&gt;=1),1,0)</f>
        <v/>
      </c>
      <c r="F41" s="43">
        <f>IF(AND(ISNUMBER(F28),F28&gt;=1),1,0)</f>
        <v/>
      </c>
      <c r="G41" s="43">
        <f>IF(AND(ISNUMBER(G28),G28&gt;=1),1,0)</f>
        <v/>
      </c>
      <c r="H41" s="43">
        <f>IF(AND(ISNUMBER(H28),H28&gt;=1),1,0)</f>
        <v/>
      </c>
      <c r="I41" s="43">
        <f>IF(AND(ISNUMBER(I28),I28&gt;=1),1,0)</f>
        <v/>
      </c>
      <c r="J41" s="43">
        <f>IF(AND(ISNUMBER(J28),J28&gt;=1),1,0)</f>
        <v/>
      </c>
      <c r="K41" s="43">
        <f>IF(AND(ISNUMBER(K28),K28&gt;=1),1,0)</f>
        <v/>
      </c>
      <c r="L41" s="43">
        <f>IF(AND(ISNUMBER(L28),L28&gt;=1),1,0)</f>
        <v/>
      </c>
      <c r="M41" s="43">
        <f>IF(AND(ISNUMBER(M28),M28&gt;=1),1,0)</f>
        <v/>
      </c>
    </row>
    <row r="42">
      <c r="A42" s="43" t="inlineStr">
        <is>
          <t>Display</t>
        </is>
      </c>
      <c r="B42" s="43">
        <f>IF(AND(ISNUMBER(B29),B29&gt;=1),1,0)</f>
        <v/>
      </c>
      <c r="C42" s="43">
        <f>IF(AND(ISNUMBER(C29),C29&gt;=1),1,0)</f>
        <v/>
      </c>
      <c r="D42" s="43">
        <f>IF(AND(ISNUMBER(D29),D29&gt;=1),1,0)</f>
        <v/>
      </c>
      <c r="E42" s="43">
        <f>IF(AND(ISNUMBER(E29),E29&gt;=1),1,0)</f>
        <v/>
      </c>
      <c r="F42" s="43">
        <f>IF(AND(ISNUMBER(F29),F29&gt;=1),1,0)</f>
        <v/>
      </c>
      <c r="G42" s="43">
        <f>IF(AND(ISNUMBER(G29),G29&gt;=1),1,0)</f>
        <v/>
      </c>
      <c r="H42" s="43">
        <f>IF(AND(ISNUMBER(H29),H29&gt;=1),1,0)</f>
        <v/>
      </c>
      <c r="I42" s="43">
        <f>IF(AND(ISNUMBER(I29),I29&gt;=1),1,0)</f>
        <v/>
      </c>
      <c r="J42" s="43">
        <f>IF(AND(ISNUMBER(J29),J29&gt;=1),1,0)</f>
        <v/>
      </c>
      <c r="K42" s="43">
        <f>IF(AND(ISNUMBER(K29),K29&gt;=1),1,0)</f>
        <v/>
      </c>
      <c r="L42" s="43">
        <f>IF(AND(ISNUMBER(L29),L29&gt;=1),1,0)</f>
        <v/>
      </c>
      <c r="M42" s="43">
        <f>IF(AND(ISNUMBER(M29),M29&gt;=1),1,0)</f>
        <v/>
      </c>
    </row>
    <row r="43">
      <c r="A43" s="43" t="inlineStr">
        <is>
          <t>Email</t>
        </is>
      </c>
      <c r="B43" s="43">
        <f>IF(AND(ISNUMBER(B30),B30&gt;=1),1,0)</f>
        <v/>
      </c>
      <c r="C43" s="43">
        <f>IF(AND(ISNUMBER(C30),C30&gt;=1),1,0)</f>
        <v/>
      </c>
      <c r="D43" s="43">
        <f>IF(AND(ISNUMBER(D30),D30&gt;=1),1,0)</f>
        <v/>
      </c>
      <c r="E43" s="43">
        <f>IF(AND(ISNUMBER(E30),E30&gt;=1),1,0)</f>
        <v/>
      </c>
      <c r="F43" s="43">
        <f>IF(AND(ISNUMBER(F30),F30&gt;=1),1,0)</f>
        <v/>
      </c>
      <c r="G43" s="43">
        <f>IF(AND(ISNUMBER(G30),G30&gt;=1),1,0)</f>
        <v/>
      </c>
      <c r="H43" s="43">
        <f>IF(AND(ISNUMBER(H30),H30&gt;=1),1,0)</f>
        <v/>
      </c>
      <c r="I43" s="43">
        <f>IF(AND(ISNUMBER(I30),I30&gt;=1),1,0)</f>
        <v/>
      </c>
      <c r="J43" s="43">
        <f>IF(AND(ISNUMBER(J30),J30&gt;=1),1,0)</f>
        <v/>
      </c>
      <c r="K43" s="43">
        <f>IF(AND(ISNUMBER(K30),K30&gt;=1),1,0)</f>
        <v/>
      </c>
      <c r="L43" s="43">
        <f>IF(AND(ISNUMBER(L30),L30&gt;=1),1,0)</f>
        <v/>
      </c>
      <c r="M43" s="43">
        <f>IF(AND(ISNUMBER(M30),M30&gt;=1),1,0)</f>
        <v/>
      </c>
    </row>
    <row r="44">
      <c r="A44" s="43" t="inlineStr">
        <is>
          <t>Paid Search</t>
        </is>
      </c>
      <c r="B44" s="43">
        <f>IF(AND(ISNUMBER(B31),B31&gt;=1),1,0)</f>
        <v/>
      </c>
      <c r="C44" s="43">
        <f>IF(AND(ISNUMBER(C31),C31&gt;=1),1,0)</f>
        <v/>
      </c>
      <c r="D44" s="43">
        <f>IF(AND(ISNUMBER(D31),D31&gt;=1),1,0)</f>
        <v/>
      </c>
      <c r="E44" s="43">
        <f>IF(AND(ISNUMBER(E31),E31&gt;=1),1,0)</f>
        <v/>
      </c>
      <c r="F44" s="43">
        <f>IF(AND(ISNUMBER(F31),F31&gt;=1),1,0)</f>
        <v/>
      </c>
      <c r="G44" s="43">
        <f>IF(AND(ISNUMBER(G31),G31&gt;=1),1,0)</f>
        <v/>
      </c>
      <c r="H44" s="43">
        <f>IF(AND(ISNUMBER(H31),H31&gt;=1),1,0)</f>
        <v/>
      </c>
      <c r="I44" s="43">
        <f>IF(AND(ISNUMBER(I31),I31&gt;=1),1,0)</f>
        <v/>
      </c>
      <c r="J44" s="43">
        <f>IF(AND(ISNUMBER(J31),J31&gt;=1),1,0)</f>
        <v/>
      </c>
      <c r="K44" s="43">
        <f>IF(AND(ISNUMBER(K31),K31&gt;=1),1,0)</f>
        <v/>
      </c>
      <c r="L44" s="43">
        <f>IF(AND(ISNUMBER(L31),L31&gt;=1),1,0)</f>
        <v/>
      </c>
      <c r="M44" s="43">
        <f>IF(AND(ISNUMBER(M31),M31&gt;=1),1,0)</f>
        <v/>
      </c>
    </row>
    <row r="45">
      <c r="A45" s="43" t="inlineStr">
        <is>
          <t>Paid Social</t>
        </is>
      </c>
      <c r="B45" s="43">
        <f>IF(AND(ISNUMBER(B32),B32&gt;=1),1,0)</f>
        <v/>
      </c>
      <c r="C45" s="43">
        <f>IF(AND(ISNUMBER(C32),C32&gt;=1),1,0)</f>
        <v/>
      </c>
      <c r="D45" s="43">
        <f>IF(AND(ISNUMBER(D32),D32&gt;=1),1,0)</f>
        <v/>
      </c>
      <c r="E45" s="43">
        <f>IF(AND(ISNUMBER(E32),E32&gt;=1),1,0)</f>
        <v/>
      </c>
      <c r="F45" s="43">
        <f>IF(AND(ISNUMBER(F32),F32&gt;=1),1,0)</f>
        <v/>
      </c>
      <c r="G45" s="43">
        <f>IF(AND(ISNUMBER(G32),G32&gt;=1),1,0)</f>
        <v/>
      </c>
      <c r="H45" s="43">
        <f>IF(AND(ISNUMBER(H32),H32&gt;=1),1,0)</f>
        <v/>
      </c>
      <c r="I45" s="43">
        <f>IF(AND(ISNUMBER(I32),I32&gt;=1),1,0)</f>
        <v/>
      </c>
      <c r="J45" s="43">
        <f>IF(AND(ISNUMBER(J32),J32&gt;=1),1,0)</f>
        <v/>
      </c>
      <c r="K45" s="43">
        <f>IF(AND(ISNUMBER(K32),K32&gt;=1),1,0)</f>
        <v/>
      </c>
      <c r="L45" s="43">
        <f>IF(AND(ISNUMBER(L32),L32&gt;=1),1,0)</f>
        <v/>
      </c>
      <c r="M45" s="43">
        <f>IF(AND(ISNUMBER(M32),M32&gt;=1),1,0)</f>
        <v/>
      </c>
    </row>
    <row r="46">
      <c r="A46" s="43" t="inlineStr">
        <is>
          <t>Referral</t>
        </is>
      </c>
      <c r="B46" s="43">
        <f>IF(AND(ISNUMBER(B33),B33&gt;=1),1,0)</f>
        <v/>
      </c>
      <c r="C46" s="43">
        <f>IF(AND(ISNUMBER(C33),C33&gt;=1),1,0)</f>
        <v/>
      </c>
      <c r="D46" s="43">
        <f>IF(AND(ISNUMBER(D33),D33&gt;=1),1,0)</f>
        <v/>
      </c>
      <c r="E46" s="43">
        <f>IF(AND(ISNUMBER(E33),E33&gt;=1),1,0)</f>
        <v/>
      </c>
      <c r="F46" s="43">
        <f>IF(AND(ISNUMBER(F33),F33&gt;=1),1,0)</f>
        <v/>
      </c>
      <c r="G46" s="43">
        <f>IF(AND(ISNUMBER(G33),G33&gt;=1),1,0)</f>
        <v/>
      </c>
      <c r="H46" s="43">
        <f>IF(AND(ISNUMBER(H33),H33&gt;=1),1,0)</f>
        <v/>
      </c>
      <c r="I46" s="43">
        <f>IF(AND(ISNUMBER(I33),I33&gt;=1),1,0)</f>
        <v/>
      </c>
      <c r="J46" s="43">
        <f>IF(AND(ISNUMBER(J33),J33&gt;=1),1,0)</f>
        <v/>
      </c>
      <c r="K46" s="43">
        <f>IF(AND(ISNUMBER(K33),K33&gt;=1),1,0)</f>
        <v/>
      </c>
      <c r="L46" s="43">
        <f>IF(AND(ISNUMBER(L33),L33&gt;=1),1,0)</f>
        <v/>
      </c>
      <c r="M46" s="43">
        <f>IF(AND(ISNUMBER(M33),M33&gt;=1),1,0)</f>
        <v/>
      </c>
    </row>
    <row r="47">
      <c r="A47" s="43" t="inlineStr">
        <is>
          <t>Video</t>
        </is>
      </c>
      <c r="B47" s="43">
        <f>IF(AND(ISNUMBER(B34),B34&gt;=1),1,0)</f>
        <v/>
      </c>
      <c r="C47" s="43">
        <f>IF(AND(ISNUMBER(C34),C34&gt;=1),1,0)</f>
        <v/>
      </c>
      <c r="D47" s="43">
        <f>IF(AND(ISNUMBER(D34),D34&gt;=1),1,0)</f>
        <v/>
      </c>
      <c r="E47" s="43">
        <f>IF(AND(ISNUMBER(E34),E34&gt;=1),1,0)</f>
        <v/>
      </c>
      <c r="F47" s="43">
        <f>IF(AND(ISNUMBER(F34),F34&gt;=1),1,0)</f>
        <v/>
      </c>
      <c r="G47" s="43">
        <f>IF(AND(ISNUMBER(G34),G34&gt;=1),1,0)</f>
        <v/>
      </c>
      <c r="H47" s="43">
        <f>IF(AND(ISNUMBER(H34),H34&gt;=1),1,0)</f>
        <v/>
      </c>
      <c r="I47" s="43">
        <f>IF(AND(ISNUMBER(I34),I34&gt;=1),1,0)</f>
        <v/>
      </c>
      <c r="J47" s="43">
        <f>IF(AND(ISNUMBER(J34),J34&gt;=1),1,0)</f>
        <v/>
      </c>
      <c r="K47" s="43">
        <f>IF(AND(ISNUMBER(K34),K34&gt;=1),1,0)</f>
        <v/>
      </c>
      <c r="L47" s="43">
        <f>IF(AND(ISNUMBER(L34),L34&gt;=1),1,0)</f>
        <v/>
      </c>
      <c r="M47" s="43">
        <f>IF(AND(ISNUMBER(M34),M34&gt;=1),1,0)</f>
        <v/>
      </c>
    </row>
  </sheetData>
  <conditionalFormatting sqref="B28:M34">
    <cfRule type="cellIs" priority="1" operator="greaterThanOrEqual" dxfId="0">
      <formula>1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Budget scenario</t>
        </is>
      </c>
    </row>
    <row r="2">
      <c r="A2" s="2" t="inlineStr">
        <is>
          <t>Change the yellow cells to test budget moves. Projections use each campaign's CAC and gross profit per customer from the Scorecard, over a year of spend.</t>
        </is>
      </c>
    </row>
    <row r="4" ht="42" customHeight="1">
      <c r="A4" s="12" t="inlineStr">
        <is>
          <t>Campaign</t>
        </is>
      </c>
      <c r="B4" s="12" t="inlineStr">
        <is>
          <t>Channel</t>
        </is>
      </c>
      <c r="C4" s="12" t="inlineStr">
        <is>
          <t>Action</t>
        </is>
      </c>
      <c r="D4" s="12" t="inlineStr">
        <is>
          <t>Spend, last 12 months</t>
        </is>
      </c>
      <c r="E4" s="12" t="inlineStr">
        <is>
          <t>Change in spend</t>
        </is>
      </c>
      <c r="F4" s="12" t="inlineStr">
        <is>
          <t>Scenario spend</t>
        </is>
      </c>
      <c r="G4" s="12" t="inlineStr">
        <is>
          <t>CAC</t>
        </is>
      </c>
      <c r="H4" s="12" t="inlineStr">
        <is>
          <t>Gross profit per customer</t>
        </is>
      </c>
      <c r="I4" s="12" t="inlineStr">
        <is>
          <t>Customers a year (now)</t>
        </is>
      </c>
      <c r="J4" s="12" t="inlineStr">
        <is>
          <t>Customers a year (scenario)</t>
        </is>
      </c>
      <c r="K4" s="12" t="inlineStr">
        <is>
          <t>180-day gross profit (now)</t>
        </is>
      </c>
      <c r="L4" s="12" t="inlineStr">
        <is>
          <t>180-day gross profit (scenario)</t>
        </is>
      </c>
      <c r="M4" s="12" t="inlineStr">
        <is>
          <t>Gross profit after spend: change</t>
        </is>
      </c>
    </row>
    <row r="5">
      <c r="A5">
        <f>Scorecard!B6</f>
        <v/>
      </c>
      <c r="B5">
        <f>Scorecard!C6</f>
        <v/>
      </c>
      <c r="C5">
        <f>Scorecard!Z6</f>
        <v/>
      </c>
      <c r="D5" s="22">
        <f>Scorecard!N6</f>
        <v/>
      </c>
      <c r="E5" s="4" t="n">
        <v>0.5</v>
      </c>
      <c r="F5" s="22">
        <f>D5*(1+E5)</f>
        <v/>
      </c>
      <c r="G5" s="25">
        <f>Scorecard!U6</f>
        <v/>
      </c>
      <c r="H5" s="25">
        <f>Scorecard!V6</f>
        <v/>
      </c>
      <c r="I5" s="23">
        <f>IF(G5="","",D5/G5)</f>
        <v/>
      </c>
      <c r="J5" s="23">
        <f>IF(G5="","",F5/G5)</f>
        <v/>
      </c>
      <c r="K5" s="22">
        <f>IF(I5="","",I5*H5)</f>
        <v/>
      </c>
      <c r="L5" s="22">
        <f>IF(J5="","",J5*H5)</f>
        <v/>
      </c>
      <c r="M5" s="22">
        <f>IF(OR(K5="",L5=""),"",(L5-F5)-(K5-D5))</f>
        <v/>
      </c>
    </row>
    <row r="6">
      <c r="A6">
        <f>Scorecard!B7</f>
        <v/>
      </c>
      <c r="B6">
        <f>Scorecard!C7</f>
        <v/>
      </c>
      <c r="C6">
        <f>Scorecard!Z7</f>
        <v/>
      </c>
      <c r="D6" s="22">
        <f>Scorecard!N7</f>
        <v/>
      </c>
      <c r="E6" s="4" t="n">
        <v>0.5</v>
      </c>
      <c r="F6" s="22">
        <f>D6*(1+E6)</f>
        <v/>
      </c>
      <c r="G6" s="25">
        <f>Scorecard!U7</f>
        <v/>
      </c>
      <c r="H6" s="25">
        <f>Scorecard!V7</f>
        <v/>
      </c>
      <c r="I6" s="23">
        <f>IF(G6="","",D6/G6)</f>
        <v/>
      </c>
      <c r="J6" s="23">
        <f>IF(G6="","",F6/G6)</f>
        <v/>
      </c>
      <c r="K6" s="22">
        <f>IF(I6="","",I6*H6)</f>
        <v/>
      </c>
      <c r="L6" s="22">
        <f>IF(J6="","",J6*H6)</f>
        <v/>
      </c>
      <c r="M6" s="22">
        <f>IF(OR(K6="",L6=""),"",(L6-F6)-(K6-D6))</f>
        <v/>
      </c>
    </row>
    <row r="7">
      <c r="A7">
        <f>Scorecard!B8</f>
        <v/>
      </c>
      <c r="B7">
        <f>Scorecard!C8</f>
        <v/>
      </c>
      <c r="C7">
        <f>Scorecard!Z8</f>
        <v/>
      </c>
      <c r="D7" s="22">
        <f>Scorecard!N8</f>
        <v/>
      </c>
      <c r="E7" s="4" t="n">
        <v>0.5</v>
      </c>
      <c r="F7" s="22">
        <f>D7*(1+E7)</f>
        <v/>
      </c>
      <c r="G7" s="25">
        <f>Scorecard!U8</f>
        <v/>
      </c>
      <c r="H7" s="25">
        <f>Scorecard!V8</f>
        <v/>
      </c>
      <c r="I7" s="23">
        <f>IF(G7="","",D7/G7)</f>
        <v/>
      </c>
      <c r="J7" s="23">
        <f>IF(G7="","",F7/G7)</f>
        <v/>
      </c>
      <c r="K7" s="22">
        <f>IF(I7="","",I7*H7)</f>
        <v/>
      </c>
      <c r="L7" s="22">
        <f>IF(J7="","",J7*H7)</f>
        <v/>
      </c>
      <c r="M7" s="22">
        <f>IF(OR(K7="",L7=""),"",(L7-F7)-(K7-D7))</f>
        <v/>
      </c>
    </row>
    <row r="8">
      <c r="A8">
        <f>Scorecard!B9</f>
        <v/>
      </c>
      <c r="B8">
        <f>Scorecard!C9</f>
        <v/>
      </c>
      <c r="C8">
        <f>Scorecard!Z9</f>
        <v/>
      </c>
      <c r="D8" s="22">
        <f>Scorecard!N9</f>
        <v/>
      </c>
      <c r="E8" s="4" t="n">
        <v>0.5</v>
      </c>
      <c r="F8" s="22">
        <f>D8*(1+E8)</f>
        <v/>
      </c>
      <c r="G8" s="25">
        <f>Scorecard!U9</f>
        <v/>
      </c>
      <c r="H8" s="25">
        <f>Scorecard!V9</f>
        <v/>
      </c>
      <c r="I8" s="23">
        <f>IF(G8="","",D8/G8)</f>
        <v/>
      </c>
      <c r="J8" s="23">
        <f>IF(G8="","",F8/G8)</f>
        <v/>
      </c>
      <c r="K8" s="22">
        <f>IF(I8="","",I8*H8)</f>
        <v/>
      </c>
      <c r="L8" s="22">
        <f>IF(J8="","",J8*H8)</f>
        <v/>
      </c>
      <c r="M8" s="22">
        <f>IF(OR(K8="",L8=""),"",(L8-F8)-(K8-D8))</f>
        <v/>
      </c>
    </row>
    <row r="9">
      <c r="A9">
        <f>Scorecard!B10</f>
        <v/>
      </c>
      <c r="B9">
        <f>Scorecard!C10</f>
        <v/>
      </c>
      <c r="C9">
        <f>Scorecard!Z10</f>
        <v/>
      </c>
      <c r="D9" s="22">
        <f>Scorecard!N10</f>
        <v/>
      </c>
      <c r="E9" s="4" t="n">
        <v>0</v>
      </c>
      <c r="F9" s="22">
        <f>D9*(1+E9)</f>
        <v/>
      </c>
      <c r="G9" s="25">
        <f>Scorecard!U10</f>
        <v/>
      </c>
      <c r="H9" s="25">
        <f>Scorecard!V10</f>
        <v/>
      </c>
      <c r="I9" s="23">
        <f>IF(G9="","",D9/G9)</f>
        <v/>
      </c>
      <c r="J9" s="23">
        <f>IF(G9="","",F9/G9)</f>
        <v/>
      </c>
      <c r="K9" s="22">
        <f>IF(I9="","",I9*H9)</f>
        <v/>
      </c>
      <c r="L9" s="22">
        <f>IF(J9="","",J9*H9)</f>
        <v/>
      </c>
      <c r="M9" s="22">
        <f>IF(OR(K9="",L9=""),"",(L9-F9)-(K9-D9))</f>
        <v/>
      </c>
    </row>
    <row r="10">
      <c r="A10">
        <f>Scorecard!B11</f>
        <v/>
      </c>
      <c r="B10">
        <f>Scorecard!C11</f>
        <v/>
      </c>
      <c r="C10">
        <f>Scorecard!Z11</f>
        <v/>
      </c>
      <c r="D10" s="22">
        <f>Scorecard!N11</f>
        <v/>
      </c>
      <c r="E10" s="4" t="n">
        <v>0</v>
      </c>
      <c r="F10" s="22">
        <f>D10*(1+E10)</f>
        <v/>
      </c>
      <c r="G10" s="25">
        <f>Scorecard!U11</f>
        <v/>
      </c>
      <c r="H10" s="25">
        <f>Scorecard!V11</f>
        <v/>
      </c>
      <c r="I10" s="23">
        <f>IF(G10="","",D10/G10)</f>
        <v/>
      </c>
      <c r="J10" s="23">
        <f>IF(G10="","",F10/G10)</f>
        <v/>
      </c>
      <c r="K10" s="22">
        <f>IF(I10="","",I10*H10)</f>
        <v/>
      </c>
      <c r="L10" s="22">
        <f>IF(J10="","",J10*H10)</f>
        <v/>
      </c>
      <c r="M10" s="22">
        <f>IF(OR(K10="",L10=""),"",(L10-F10)-(K10-D10))</f>
        <v/>
      </c>
    </row>
    <row r="11">
      <c r="A11">
        <f>Scorecard!B12</f>
        <v/>
      </c>
      <c r="B11">
        <f>Scorecard!C12</f>
        <v/>
      </c>
      <c r="C11">
        <f>Scorecard!Z12</f>
        <v/>
      </c>
      <c r="D11" s="22">
        <f>Scorecard!N12</f>
        <v/>
      </c>
      <c r="E11" s="4" t="n">
        <v>0</v>
      </c>
      <c r="F11" s="22">
        <f>D11*(1+E11)</f>
        <v/>
      </c>
      <c r="G11" s="25">
        <f>Scorecard!U12</f>
        <v/>
      </c>
      <c r="H11" s="25">
        <f>Scorecard!V12</f>
        <v/>
      </c>
      <c r="I11" s="23">
        <f>IF(G11="","",D11/G11)</f>
        <v/>
      </c>
      <c r="J11" s="23">
        <f>IF(G11="","",F11/G11)</f>
        <v/>
      </c>
      <c r="K11" s="22">
        <f>IF(I11="","",I11*H11)</f>
        <v/>
      </c>
      <c r="L11" s="22">
        <f>IF(J11="","",J11*H11)</f>
        <v/>
      </c>
      <c r="M11" s="22">
        <f>IF(OR(K11="",L11=""),"",(L11-F11)-(K11-D11))</f>
        <v/>
      </c>
    </row>
    <row r="12">
      <c r="A12">
        <f>Scorecard!B13</f>
        <v/>
      </c>
      <c r="B12">
        <f>Scorecard!C13</f>
        <v/>
      </c>
      <c r="C12">
        <f>Scorecard!Z13</f>
        <v/>
      </c>
      <c r="D12" s="22">
        <f>Scorecard!N13</f>
        <v/>
      </c>
      <c r="E12" s="4" t="n">
        <v>0</v>
      </c>
      <c r="F12" s="22">
        <f>D12*(1+E12)</f>
        <v/>
      </c>
      <c r="G12" s="25">
        <f>Scorecard!U13</f>
        <v/>
      </c>
      <c r="H12" s="25">
        <f>Scorecard!V13</f>
        <v/>
      </c>
      <c r="I12" s="23">
        <f>IF(G12="","",D12/G12)</f>
        <v/>
      </c>
      <c r="J12" s="23">
        <f>IF(G12="","",F12/G12)</f>
        <v/>
      </c>
      <c r="K12" s="22">
        <f>IF(I12="","",I12*H12)</f>
        <v/>
      </c>
      <c r="L12" s="22">
        <f>IF(J12="","",J12*H12)</f>
        <v/>
      </c>
      <c r="M12" s="22">
        <f>IF(OR(K12="",L12=""),"",(L12-F12)-(K12-D12))</f>
        <v/>
      </c>
    </row>
    <row r="13">
      <c r="A13">
        <f>Scorecard!B14</f>
        <v/>
      </c>
      <c r="B13">
        <f>Scorecard!C14</f>
        <v/>
      </c>
      <c r="C13">
        <f>Scorecard!Z14</f>
        <v/>
      </c>
      <c r="D13" s="22">
        <f>Scorecard!N14</f>
        <v/>
      </c>
      <c r="E13" s="4" t="n">
        <v>-0.5</v>
      </c>
      <c r="F13" s="22">
        <f>D13*(1+E13)</f>
        <v/>
      </c>
      <c r="G13" s="25">
        <f>Scorecard!U14</f>
        <v/>
      </c>
      <c r="H13" s="25">
        <f>Scorecard!V14</f>
        <v/>
      </c>
      <c r="I13" s="23">
        <f>IF(G13="","",D13/G13)</f>
        <v/>
      </c>
      <c r="J13" s="23">
        <f>IF(G13="","",F13/G13)</f>
        <v/>
      </c>
      <c r="K13" s="22">
        <f>IF(I13="","",I13*H13)</f>
        <v/>
      </c>
      <c r="L13" s="22">
        <f>IF(J13="","",J13*H13)</f>
        <v/>
      </c>
      <c r="M13" s="22">
        <f>IF(OR(K13="",L13=""),"",(L13-F13)-(K13-D13))</f>
        <v/>
      </c>
    </row>
    <row r="14">
      <c r="A14">
        <f>Scorecard!B15</f>
        <v/>
      </c>
      <c r="B14">
        <f>Scorecard!C15</f>
        <v/>
      </c>
      <c r="C14">
        <f>Scorecard!Z15</f>
        <v/>
      </c>
      <c r="D14" s="22">
        <f>Scorecard!N15</f>
        <v/>
      </c>
      <c r="E14" s="4" t="n">
        <v>-0.5</v>
      </c>
      <c r="F14" s="22">
        <f>D14*(1+E14)</f>
        <v/>
      </c>
      <c r="G14" s="25">
        <f>Scorecard!U15</f>
        <v/>
      </c>
      <c r="H14" s="25">
        <f>Scorecard!V15</f>
        <v/>
      </c>
      <c r="I14" s="23">
        <f>IF(G14="","",D14/G14)</f>
        <v/>
      </c>
      <c r="J14" s="23">
        <f>IF(G14="","",F14/G14)</f>
        <v/>
      </c>
      <c r="K14" s="22">
        <f>IF(I14="","",I14*H14)</f>
        <v/>
      </c>
      <c r="L14" s="22">
        <f>IF(J14="","",J14*H14)</f>
        <v/>
      </c>
      <c r="M14" s="22">
        <f>IF(OR(K14="",L14=""),"",(L14-F14)-(K14-D14))</f>
        <v/>
      </c>
    </row>
    <row r="15">
      <c r="A15">
        <f>Scorecard!B16</f>
        <v/>
      </c>
      <c r="B15">
        <f>Scorecard!C16</f>
        <v/>
      </c>
      <c r="C15">
        <f>Scorecard!Z16</f>
        <v/>
      </c>
      <c r="D15" s="22">
        <f>Scorecard!N16</f>
        <v/>
      </c>
      <c r="E15" s="4" t="n">
        <v>-0.5</v>
      </c>
      <c r="F15" s="22">
        <f>D15*(1+E15)</f>
        <v/>
      </c>
      <c r="G15" s="25">
        <f>Scorecard!U16</f>
        <v/>
      </c>
      <c r="H15" s="25">
        <f>Scorecard!V16</f>
        <v/>
      </c>
      <c r="I15" s="23">
        <f>IF(G15="","",D15/G15)</f>
        <v/>
      </c>
      <c r="J15" s="23">
        <f>IF(G15="","",F15/G15)</f>
        <v/>
      </c>
      <c r="K15" s="22">
        <f>IF(I15="","",I15*H15)</f>
        <v/>
      </c>
      <c r="L15" s="22">
        <f>IF(J15="","",J15*H15)</f>
        <v/>
      </c>
      <c r="M15" s="22">
        <f>IF(OR(K15="",L15=""),"",(L15-F15)-(K15-D15))</f>
        <v/>
      </c>
    </row>
    <row r="16">
      <c r="A16">
        <f>Scorecard!B17</f>
        <v/>
      </c>
      <c r="B16">
        <f>Scorecard!C17</f>
        <v/>
      </c>
      <c r="C16">
        <f>Scorecard!Z17</f>
        <v/>
      </c>
      <c r="D16" s="22">
        <f>Scorecard!N17</f>
        <v/>
      </c>
      <c r="E16" s="4" t="n">
        <v>-0.5</v>
      </c>
      <c r="F16" s="22">
        <f>D16*(1+E16)</f>
        <v/>
      </c>
      <c r="G16" s="25">
        <f>Scorecard!U17</f>
        <v/>
      </c>
      <c r="H16" s="25">
        <f>Scorecard!V17</f>
        <v/>
      </c>
      <c r="I16" s="23">
        <f>IF(G16="","",D16/G16)</f>
        <v/>
      </c>
      <c r="J16" s="23">
        <f>IF(G16="","",F16/G16)</f>
        <v/>
      </c>
      <c r="K16" s="22">
        <f>IF(I16="","",I16*H16)</f>
        <v/>
      </c>
      <c r="L16" s="22">
        <f>IF(J16="","",J16*H16)</f>
        <v/>
      </c>
      <c r="M16" s="22">
        <f>IF(OR(K16="",L16=""),"",(L16-F16)-(K16-D16))</f>
        <v/>
      </c>
    </row>
    <row r="17">
      <c r="A17">
        <f>Scorecard!B18</f>
        <v/>
      </c>
      <c r="B17">
        <f>Scorecard!C18</f>
        <v/>
      </c>
      <c r="C17">
        <f>Scorecard!Z18</f>
        <v/>
      </c>
      <c r="D17" s="22">
        <f>Scorecard!N18</f>
        <v/>
      </c>
      <c r="E17" s="4" t="n">
        <v>0</v>
      </c>
      <c r="F17" s="22">
        <f>D17*(1+E17)</f>
        <v/>
      </c>
      <c r="G17" s="25">
        <f>Scorecard!U18</f>
        <v/>
      </c>
      <c r="H17" s="25">
        <f>Scorecard!V18</f>
        <v/>
      </c>
      <c r="I17" s="23">
        <f>IF(G17="","",D17/G17)</f>
        <v/>
      </c>
      <c r="J17" s="23">
        <f>IF(G17="","",F17/G17)</f>
        <v/>
      </c>
      <c r="K17" s="22">
        <f>IF(I17="","",I17*H17)</f>
        <v/>
      </c>
      <c r="L17" s="22">
        <f>IF(J17="","",J17*H17)</f>
        <v/>
      </c>
      <c r="M17" s="22">
        <f>IF(OR(K17="",L17=""),"",(L17-F17)-(K17-D17))</f>
        <v/>
      </c>
    </row>
    <row r="18">
      <c r="A18" s="29" t="inlineStr">
        <is>
          <t>Total</t>
        </is>
      </c>
      <c r="B18" s="29" t="n"/>
      <c r="C18" s="29" t="n"/>
      <c r="D18" s="30">
        <f>SUM(D5:D17)</f>
        <v/>
      </c>
      <c r="E18" s="29" t="n"/>
      <c r="F18" s="30">
        <f>SUM(F5:F17)</f>
        <v/>
      </c>
      <c r="G18" s="29" t="n"/>
      <c r="H18" s="29" t="n"/>
      <c r="I18" s="31">
        <f>SUM(I5:I17)</f>
        <v/>
      </c>
      <c r="J18" s="31">
        <f>SUM(J5:J17)</f>
        <v/>
      </c>
      <c r="K18" s="30">
        <f>SUM(K5:K17)</f>
        <v/>
      </c>
      <c r="L18" s="30">
        <f>SUM(L5:L17)</f>
        <v/>
      </c>
      <c r="M18" s="30">
        <f>SUM(M5:M17)</f>
        <v/>
      </c>
    </row>
    <row r="20">
      <c r="A20" s="3" t="inlineStr">
        <is>
          <t>What the scenario does</t>
        </is>
      </c>
      <c r="B20" s="3" t="n"/>
      <c r="C20" s="3" t="n"/>
      <c r="D20" s="3" t="n"/>
    </row>
    <row r="21">
      <c r="A21" t="inlineStr">
        <is>
          <t>Change in annual spend</t>
        </is>
      </c>
      <c r="D21" s="44">
        <f>F18-D18</f>
        <v/>
      </c>
    </row>
    <row r="22">
      <c r="A22" t="inlineStr">
        <is>
          <t>Extra customers a year</t>
        </is>
      </c>
      <c r="D22" s="45">
        <f>J18-I18</f>
        <v/>
      </c>
    </row>
    <row r="23">
      <c r="A23" t="inlineStr">
        <is>
          <t>Extra 180-day gross profit</t>
        </is>
      </c>
      <c r="D23" s="44">
        <f>L18-K18</f>
        <v/>
      </c>
    </row>
    <row r="24">
      <c r="A24" t="inlineStr">
        <is>
          <t>Gross profit after spend: change</t>
        </is>
      </c>
      <c r="D24" s="44">
        <f>M18</f>
        <v/>
      </c>
    </row>
    <row r="26">
      <c r="A26" s="2" t="inlineStr">
        <is>
          <t>Assumes CAC and gross profit per customer stay the same as budgets change. In practice CAC usually rises as a campaign scales (smaller audiences, higher bids), so treat increases as an upper bound and test them in steps. Defaults: halve campaigns marked 'Cut or rework', grow those marked 'Scale' by 50%.</t>
        </is>
      </c>
    </row>
  </sheetData>
  <conditionalFormatting sqref="C5:C17">
    <cfRule type="expression" priority="1" dxfId="3">
      <formula>C5="Scale"</formula>
    </cfRule>
    <cfRule type="expression" priority="2" dxfId="4">
      <formula>C5="Cut or rework"</formula>
    </cfRule>
    <cfRule type="expression" priority="3" dxfId="5">
      <formula>C5="Optimize"</formula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8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Monthly trend by channel</t>
        </is>
      </c>
    </row>
    <row r="2">
      <c r="A2" s="2" t="inlineStr">
        <is>
          <t>Spend and first purchases by calendar month. Monthly CAC here is operational: a month's spend divided by that month's first purchases, some from people who signed up earlier.</t>
        </is>
      </c>
    </row>
    <row r="4">
      <c r="A4" s="38" t="inlineStr">
        <is>
          <t>Spend</t>
        </is>
      </c>
    </row>
    <row r="5" ht="30" customHeight="1">
      <c r="A5" s="12" t="inlineStr">
        <is>
          <t>Month</t>
        </is>
      </c>
      <c r="B5" s="12" t="inlineStr">
        <is>
          <t>Affiliate</t>
        </is>
      </c>
      <c r="C5" s="12" t="inlineStr">
        <is>
          <t>Display</t>
        </is>
      </c>
      <c r="D5" s="12" t="inlineStr">
        <is>
          <t>Email</t>
        </is>
      </c>
      <c r="E5" s="12" t="inlineStr">
        <is>
          <t>Paid Search</t>
        </is>
      </c>
      <c r="F5" s="12" t="inlineStr">
        <is>
          <t>Paid Social</t>
        </is>
      </c>
      <c r="G5" s="12" t="inlineStr">
        <is>
          <t>Referral</t>
        </is>
      </c>
      <c r="H5" s="12" t="inlineStr">
        <is>
          <t>Video</t>
        </is>
      </c>
      <c r="I5" s="12" t="inlineStr">
        <is>
          <t>Total</t>
        </is>
      </c>
    </row>
    <row r="6">
      <c r="A6" s="39" t="n">
        <v>45292</v>
      </c>
      <c r="B6" s="22" t="n">
        <v>2928.990000000001</v>
      </c>
      <c r="C6" s="22" t="n">
        <v>4344.44</v>
      </c>
      <c r="D6" s="22" t="n">
        <v>1534.15</v>
      </c>
      <c r="E6" s="22" t="n">
        <v>11291.36000000001</v>
      </c>
      <c r="F6" s="22" t="n">
        <v>11838.84</v>
      </c>
      <c r="G6" s="22" t="n">
        <v>2102.37</v>
      </c>
      <c r="H6" s="22" t="n"/>
      <c r="I6" s="44">
        <f>SUM(B6:H6)</f>
        <v/>
      </c>
    </row>
    <row r="7">
      <c r="A7" s="39" t="n">
        <v>45323</v>
      </c>
      <c r="B7" s="22" t="n">
        <v>2741.820000000001</v>
      </c>
      <c r="C7" s="22" t="n">
        <v>4049.62</v>
      </c>
      <c r="D7" s="22" t="n">
        <v>1413.03</v>
      </c>
      <c r="E7" s="22" t="n">
        <v>10862.98</v>
      </c>
      <c r="F7" s="22" t="n">
        <v>10699.3</v>
      </c>
      <c r="G7" s="22" t="n">
        <v>1940.329999999999</v>
      </c>
      <c r="H7" s="22" t="n"/>
      <c r="I7" s="44">
        <f>SUM(B7:H7)</f>
        <v/>
      </c>
    </row>
    <row r="8">
      <c r="A8" s="39" t="n">
        <v>45352</v>
      </c>
      <c r="B8" s="22" t="n">
        <v>6201.599999999999</v>
      </c>
      <c r="C8" s="22" t="n">
        <v>4890.790000000001</v>
      </c>
      <c r="D8" s="22" t="n">
        <v>1690.78</v>
      </c>
      <c r="E8" s="22" t="n">
        <v>12365.32</v>
      </c>
      <c r="F8" s="22" t="n">
        <v>13272.59</v>
      </c>
      <c r="G8" s="22" t="n">
        <v>2268.37</v>
      </c>
      <c r="H8" s="22" t="n"/>
      <c r="I8" s="44">
        <f>SUM(B8:H8)</f>
        <v/>
      </c>
    </row>
    <row r="9">
      <c r="A9" s="39" t="n">
        <v>45383</v>
      </c>
      <c r="B9" s="22" t="n">
        <v>5932.86</v>
      </c>
      <c r="C9" s="22" t="n">
        <v>4777.169999999999</v>
      </c>
      <c r="D9" s="22" t="n">
        <v>1627.24</v>
      </c>
      <c r="E9" s="22" t="n">
        <v>12609.64</v>
      </c>
      <c r="F9" s="22" t="n">
        <v>12754.15</v>
      </c>
      <c r="G9" s="22" t="n">
        <v>2286.2</v>
      </c>
      <c r="H9" s="22" t="n"/>
      <c r="I9" s="44">
        <f>SUM(B9:H9)</f>
        <v/>
      </c>
    </row>
    <row r="10">
      <c r="A10" s="39" t="n">
        <v>45413</v>
      </c>
      <c r="B10" s="22" t="n">
        <v>6584.059999999999</v>
      </c>
      <c r="C10" s="22" t="n">
        <v>4858.620000000001</v>
      </c>
      <c r="D10" s="22" t="n">
        <v>1728.04</v>
      </c>
      <c r="E10" s="22" t="n">
        <v>13292.24</v>
      </c>
      <c r="F10" s="22" t="n">
        <v>13659.27</v>
      </c>
      <c r="G10" s="22" t="n">
        <v>2315.369999999999</v>
      </c>
      <c r="H10" s="22" t="n"/>
      <c r="I10" s="44">
        <f>SUM(B10:H10)</f>
        <v/>
      </c>
    </row>
    <row r="11">
      <c r="A11" s="39" t="n">
        <v>45444</v>
      </c>
      <c r="B11" s="22" t="n">
        <v>5829.110000000001</v>
      </c>
      <c r="C11" s="22" t="n">
        <v>4406.99</v>
      </c>
      <c r="D11" s="22" t="n">
        <v>1643.69</v>
      </c>
      <c r="E11" s="22" t="n">
        <v>12100.27</v>
      </c>
      <c r="F11" s="22" t="n">
        <v>12645.73</v>
      </c>
      <c r="G11" s="22" t="n">
        <v>2128.04</v>
      </c>
      <c r="H11" s="22" t="n">
        <v>3892.08</v>
      </c>
      <c r="I11" s="44">
        <f>SUM(B11:H11)</f>
        <v/>
      </c>
    </row>
    <row r="12">
      <c r="A12" s="39" t="n">
        <v>45474</v>
      </c>
      <c r="B12" s="22" t="n">
        <v>5740.290000000002</v>
      </c>
      <c r="C12" s="22" t="n">
        <v>4566.830000000001</v>
      </c>
      <c r="D12" s="22" t="n">
        <v>1605.07</v>
      </c>
      <c r="E12" s="22" t="n">
        <v>12273.75</v>
      </c>
      <c r="F12" s="22" t="n">
        <v>12589.9</v>
      </c>
      <c r="G12" s="22" t="n">
        <v>2155.84</v>
      </c>
      <c r="H12" s="22" t="n">
        <v>4143.670000000001</v>
      </c>
      <c r="I12" s="44">
        <f>SUM(B12:H12)</f>
        <v/>
      </c>
    </row>
    <row r="13">
      <c r="A13" s="39" t="n">
        <v>45505</v>
      </c>
      <c r="B13" s="22" t="n">
        <v>6093.450000000002</v>
      </c>
      <c r="C13" s="22" t="n">
        <v>4535.090000000001</v>
      </c>
      <c r="D13" s="22" t="n">
        <v>1736.78</v>
      </c>
      <c r="E13" s="22" t="n">
        <v>12947.39</v>
      </c>
      <c r="F13" s="22" t="n">
        <v>13325.55</v>
      </c>
      <c r="G13" s="22" t="n">
        <v>2234.79</v>
      </c>
      <c r="H13" s="22" t="n">
        <v>4010.69</v>
      </c>
      <c r="I13" s="44">
        <f>SUM(B13:H13)</f>
        <v/>
      </c>
    </row>
    <row r="14">
      <c r="A14" s="39" t="n">
        <v>45536</v>
      </c>
      <c r="B14" s="22" t="n">
        <v>6074.909999999999</v>
      </c>
      <c r="C14" s="22" t="n">
        <v>4966.349999999999</v>
      </c>
      <c r="D14" s="22" t="n">
        <v>1772.67</v>
      </c>
      <c r="E14" s="22" t="n">
        <v>12907.84</v>
      </c>
      <c r="F14" s="22" t="n">
        <v>13799.19</v>
      </c>
      <c r="G14" s="22" t="n">
        <v>2296.23</v>
      </c>
      <c r="H14" s="22" t="n">
        <v>4381.710000000001</v>
      </c>
      <c r="I14" s="44">
        <f>SUM(B14:H14)</f>
        <v/>
      </c>
    </row>
    <row r="15">
      <c r="A15" s="39" t="n">
        <v>45566</v>
      </c>
      <c r="B15" s="22" t="n">
        <v>6928.619999999999</v>
      </c>
      <c r="C15" s="22" t="n">
        <v>5091.620000000002</v>
      </c>
      <c r="D15" s="22" t="n">
        <v>1892.99</v>
      </c>
      <c r="E15" s="22" t="n">
        <v>14377.32</v>
      </c>
      <c r="F15" s="22" t="n">
        <v>32823.72000000002</v>
      </c>
      <c r="G15" s="22" t="n">
        <v>2565.77</v>
      </c>
      <c r="H15" s="22" t="n">
        <v>4755.450000000001</v>
      </c>
      <c r="I15" s="44">
        <f>SUM(B15:H15)</f>
        <v/>
      </c>
    </row>
    <row r="16">
      <c r="A16" s="39" t="n">
        <v>45597</v>
      </c>
      <c r="B16" s="22" t="n">
        <v>7697.910000000003</v>
      </c>
      <c r="C16" s="22" t="n">
        <v>5868.759999999999</v>
      </c>
      <c r="D16" s="22" t="n">
        <v>2118.71</v>
      </c>
      <c r="E16" s="22" t="n">
        <v>17305.16000000001</v>
      </c>
      <c r="F16" s="22" t="n">
        <v>37037.87000000001</v>
      </c>
      <c r="G16" s="22" t="n">
        <v>2840.679999999999</v>
      </c>
      <c r="H16" s="22" t="n">
        <v>5086.610000000001</v>
      </c>
      <c r="I16" s="44">
        <f>SUM(B16:H16)</f>
        <v/>
      </c>
    </row>
    <row r="17">
      <c r="A17" s="39" t="n">
        <v>45627</v>
      </c>
      <c r="B17" s="22" t="n">
        <v>8650.709999999999</v>
      </c>
      <c r="C17" s="22" t="n">
        <v>6787.95</v>
      </c>
      <c r="D17" s="22" t="n">
        <v>2330</v>
      </c>
      <c r="E17" s="22" t="n">
        <v>18447.17000000001</v>
      </c>
      <c r="F17" s="22" t="n">
        <v>42951.12</v>
      </c>
      <c r="G17" s="22" t="n">
        <v>3099.750000000001</v>
      </c>
      <c r="H17" s="22" t="n">
        <v>6080.7</v>
      </c>
      <c r="I17" s="44">
        <f>SUM(B17:H17)</f>
        <v/>
      </c>
    </row>
    <row r="18">
      <c r="A18" s="39" t="n">
        <v>45658</v>
      </c>
      <c r="B18" s="22" t="n">
        <v>5961.02</v>
      </c>
      <c r="C18" s="22" t="n">
        <v>4663.689999999999</v>
      </c>
      <c r="D18" s="22" t="n">
        <v>1567.95</v>
      </c>
      <c r="E18" s="22" t="n">
        <v>12297.66</v>
      </c>
      <c r="F18" s="22" t="n">
        <v>15197.34000000001</v>
      </c>
      <c r="G18" s="22" t="n">
        <v>2221.21</v>
      </c>
      <c r="H18" s="22" t="n">
        <v>3906.05</v>
      </c>
      <c r="I18" s="44">
        <f>SUM(B18:H18)</f>
        <v/>
      </c>
    </row>
    <row r="19">
      <c r="A19" s="39" t="n">
        <v>45689</v>
      </c>
      <c r="B19" s="22" t="n">
        <v>5031.840000000001</v>
      </c>
      <c r="C19" s="22" t="n">
        <v>4132.929999999999</v>
      </c>
      <c r="D19" s="22" t="n">
        <v>1443.33</v>
      </c>
      <c r="E19" s="22" t="n">
        <v>11207.93</v>
      </c>
      <c r="F19" s="22" t="n">
        <v>13313.36</v>
      </c>
      <c r="G19" s="22" t="n">
        <v>2090.52</v>
      </c>
      <c r="H19" s="22" t="n">
        <v>3462.8</v>
      </c>
      <c r="I19" s="44">
        <f>SUM(B19:H19)</f>
        <v/>
      </c>
    </row>
    <row r="20">
      <c r="A20" s="39" t="n">
        <v>45717</v>
      </c>
      <c r="B20" s="22" t="n">
        <v>6498.769999999999</v>
      </c>
      <c r="C20" s="22" t="n">
        <v>5321.239999999999</v>
      </c>
      <c r="D20" s="22" t="n">
        <v>1813.98</v>
      </c>
      <c r="E20" s="22" t="n">
        <v>13659.49</v>
      </c>
      <c r="F20" s="22" t="n">
        <v>16096.24</v>
      </c>
      <c r="G20" s="22" t="n">
        <v>2464.579999999999</v>
      </c>
      <c r="H20" s="22" t="n">
        <v>4545.470000000001</v>
      </c>
      <c r="I20" s="44">
        <f>SUM(B20:H20)</f>
        <v/>
      </c>
    </row>
    <row r="21">
      <c r="A21" s="39" t="n">
        <v>45748</v>
      </c>
      <c r="B21" s="22" t="n">
        <v>6437.340000000001</v>
      </c>
      <c r="C21" s="22" t="n">
        <v>5021.369999999999</v>
      </c>
      <c r="D21" s="22" t="n">
        <v>1772.3</v>
      </c>
      <c r="E21" s="22" t="n">
        <v>13213.35000000001</v>
      </c>
      <c r="F21" s="22" t="n">
        <v>16072.47</v>
      </c>
      <c r="G21" s="22" t="n">
        <v>2525.77</v>
      </c>
      <c r="H21" s="22" t="n">
        <v>4337.080000000001</v>
      </c>
      <c r="I21" s="44">
        <f>SUM(B21:H21)</f>
        <v/>
      </c>
    </row>
    <row r="22">
      <c r="A22" s="39" t="n">
        <v>45778</v>
      </c>
      <c r="B22" s="22" t="n">
        <v>6842.349999999998</v>
      </c>
      <c r="C22" s="22" t="n">
        <v>5475.75</v>
      </c>
      <c r="D22" s="22" t="n">
        <v>2014.31</v>
      </c>
      <c r="E22" s="22" t="n">
        <v>14497.44</v>
      </c>
      <c r="F22" s="22" t="n">
        <v>17132.05</v>
      </c>
      <c r="G22" s="22" t="n">
        <v>2582.23</v>
      </c>
      <c r="H22" s="22" t="n">
        <v>4765.42</v>
      </c>
      <c r="I22" s="44">
        <f>SUM(B22:H22)</f>
        <v/>
      </c>
    </row>
    <row r="23">
      <c r="A23" s="39" t="n">
        <v>45809</v>
      </c>
      <c r="B23" s="22" t="n">
        <v>6487.2</v>
      </c>
      <c r="C23" s="22" t="n">
        <v>4884.68</v>
      </c>
      <c r="D23" s="22" t="n">
        <v>1845.69</v>
      </c>
      <c r="E23" s="22" t="n">
        <v>13133.29</v>
      </c>
      <c r="F23" s="22" t="n">
        <v>15125.61</v>
      </c>
      <c r="G23" s="22" t="n">
        <v>2459.61</v>
      </c>
      <c r="H23" s="22" t="n">
        <v>4497.07</v>
      </c>
      <c r="I23" s="44">
        <f>SUM(B23:H23)</f>
        <v/>
      </c>
    </row>
    <row r="24">
      <c r="A24" s="39" t="n">
        <v>45839</v>
      </c>
      <c r="B24" s="22" t="n">
        <v>6322.769999999998</v>
      </c>
      <c r="C24" s="22" t="n">
        <v>4954.430000000002</v>
      </c>
      <c r="D24" s="22" t="n">
        <v>1788.21</v>
      </c>
      <c r="E24" s="22" t="n">
        <v>10384.71</v>
      </c>
      <c r="F24" s="22" t="n">
        <v>15978.68</v>
      </c>
      <c r="G24" s="22" t="n">
        <v>2358.99</v>
      </c>
      <c r="H24" s="22" t="n">
        <v>4365.77</v>
      </c>
      <c r="I24" s="44">
        <f>SUM(B24:H24)</f>
        <v/>
      </c>
    </row>
    <row r="25">
      <c r="A25" s="39" t="n">
        <v>45870</v>
      </c>
      <c r="B25" s="22" t="n">
        <v>6437.610000000001</v>
      </c>
      <c r="C25" s="22" t="n">
        <v>5188.280000000002</v>
      </c>
      <c r="D25" s="22" t="n">
        <v>1762.08</v>
      </c>
      <c r="E25" s="22" t="n">
        <v>10379.77</v>
      </c>
      <c r="F25" s="22" t="n">
        <v>16083.60999999999</v>
      </c>
      <c r="G25" s="22" t="n">
        <v>2359.629999999999</v>
      </c>
      <c r="H25" s="22" t="n">
        <v>4694.400000000001</v>
      </c>
      <c r="I25" s="44">
        <f>SUM(B25:H25)</f>
        <v/>
      </c>
    </row>
    <row r="26">
      <c r="A26" s="39" t="n">
        <v>45901</v>
      </c>
      <c r="B26" s="22" t="n">
        <v>6862.909999999999</v>
      </c>
      <c r="C26" s="22" t="n">
        <v>5189.849999999999</v>
      </c>
      <c r="D26" s="22" t="n">
        <v>1910.67</v>
      </c>
      <c r="E26" s="22" t="n">
        <v>10790.26</v>
      </c>
      <c r="F26" s="22" t="n">
        <v>20782.43999999999</v>
      </c>
      <c r="G26" s="22" t="n">
        <v>2582.18</v>
      </c>
      <c r="H26" s="22" t="n">
        <v>4735.58</v>
      </c>
      <c r="I26" s="44">
        <f>SUM(B26:H26)</f>
        <v/>
      </c>
    </row>
    <row r="27">
      <c r="A27" s="39" t="n">
        <v>45931</v>
      </c>
      <c r="B27" s="22" t="n">
        <v>7204.849999999999</v>
      </c>
      <c r="C27" s="22" t="n">
        <v>5698.749999999999</v>
      </c>
      <c r="D27" s="22" t="n">
        <v>2046.26</v>
      </c>
      <c r="E27" s="22" t="n">
        <v>11848.26</v>
      </c>
      <c r="F27" s="22" t="n">
        <v>41092.99999999998</v>
      </c>
      <c r="G27" s="22" t="n">
        <v>2658.09</v>
      </c>
      <c r="H27" s="22" t="n">
        <v>5272.79</v>
      </c>
      <c r="I27" s="44">
        <f>SUM(B27:H27)</f>
        <v/>
      </c>
    </row>
    <row r="28">
      <c r="A28" s="39" t="n">
        <v>45962</v>
      </c>
      <c r="B28" s="22" t="n">
        <v>8329.529999999999</v>
      </c>
      <c r="C28" s="22" t="n">
        <v>6785.82</v>
      </c>
      <c r="D28" s="22" t="n">
        <v>2241.82</v>
      </c>
      <c r="E28" s="22" t="n">
        <v>13876.28</v>
      </c>
      <c r="F28" s="22" t="n">
        <v>47449.55999999999</v>
      </c>
      <c r="G28" s="22" t="n">
        <v>3132.91</v>
      </c>
      <c r="H28" s="22" t="n">
        <v>5872.820000000001</v>
      </c>
      <c r="I28" s="44">
        <f>SUM(B28:H28)</f>
        <v/>
      </c>
    </row>
    <row r="29">
      <c r="A29" s="39" t="n">
        <v>45992</v>
      </c>
      <c r="B29" s="22" t="n">
        <v>9271.130000000001</v>
      </c>
      <c r="C29" s="22" t="n">
        <v>7122.080000000001</v>
      </c>
      <c r="D29" s="22" t="n">
        <v>2637.29</v>
      </c>
      <c r="E29" s="22" t="n">
        <v>14931.88</v>
      </c>
      <c r="F29" s="22" t="n">
        <v>53669.61</v>
      </c>
      <c r="G29" s="22" t="n">
        <v>3451.85</v>
      </c>
      <c r="H29" s="22" t="n">
        <v>6277.07</v>
      </c>
      <c r="I29" s="44">
        <f>SUM(B29:H29)</f>
        <v/>
      </c>
    </row>
    <row r="32">
      <c r="A32" s="38" t="inlineStr">
        <is>
          <t>First purchases (new customers)</t>
        </is>
      </c>
    </row>
    <row r="33" ht="30" customHeight="1">
      <c r="A33" s="12" t="inlineStr">
        <is>
          <t>Month</t>
        </is>
      </c>
      <c r="B33" s="12" t="inlineStr">
        <is>
          <t>Affiliate</t>
        </is>
      </c>
      <c r="C33" s="12" t="inlineStr">
        <is>
          <t>Display</t>
        </is>
      </c>
      <c r="D33" s="12" t="inlineStr">
        <is>
          <t>Email</t>
        </is>
      </c>
      <c r="E33" s="12" t="inlineStr">
        <is>
          <t>Paid Search</t>
        </is>
      </c>
      <c r="F33" s="12" t="inlineStr">
        <is>
          <t>Paid Social</t>
        </is>
      </c>
      <c r="G33" s="12" t="inlineStr">
        <is>
          <t>Referral</t>
        </is>
      </c>
      <c r="H33" s="12" t="inlineStr">
        <is>
          <t>Video</t>
        </is>
      </c>
      <c r="I33" s="12" t="inlineStr">
        <is>
          <t>Total</t>
        </is>
      </c>
    </row>
    <row r="34">
      <c r="A34" s="39" t="n">
        <v>45292</v>
      </c>
      <c r="B34" s="23" t="n">
        <v>203</v>
      </c>
      <c r="C34" s="23" t="n">
        <v>11</v>
      </c>
      <c r="D34" s="23" t="n">
        <v>27</v>
      </c>
      <c r="E34" s="23" t="n">
        <v>168</v>
      </c>
      <c r="F34" s="23" t="n">
        <v>130</v>
      </c>
      <c r="G34" s="23" t="n">
        <v>40</v>
      </c>
      <c r="H34" s="23" t="n"/>
      <c r="I34" s="45">
        <f>SUM(B34:H34)</f>
        <v/>
      </c>
    </row>
    <row r="35">
      <c r="A35" s="39" t="n">
        <v>45323</v>
      </c>
      <c r="B35" s="23" t="n">
        <v>250</v>
      </c>
      <c r="C35" s="23" t="n">
        <v>14</v>
      </c>
      <c r="D35" s="23" t="n">
        <v>44</v>
      </c>
      <c r="E35" s="23" t="n">
        <v>211</v>
      </c>
      <c r="F35" s="23" t="n">
        <v>186</v>
      </c>
      <c r="G35" s="23" t="n">
        <v>54</v>
      </c>
      <c r="H35" s="23" t="n"/>
      <c r="I35" s="45">
        <f>SUM(B35:H35)</f>
        <v/>
      </c>
    </row>
    <row r="36">
      <c r="A36" s="39" t="n">
        <v>45352</v>
      </c>
      <c r="B36" s="23" t="n">
        <v>380</v>
      </c>
      <c r="C36" s="23" t="n">
        <v>36</v>
      </c>
      <c r="D36" s="23" t="n">
        <v>27</v>
      </c>
      <c r="E36" s="23" t="n">
        <v>245</v>
      </c>
      <c r="F36" s="23" t="n">
        <v>227</v>
      </c>
      <c r="G36" s="23" t="n">
        <v>55</v>
      </c>
      <c r="H36" s="23" t="n"/>
      <c r="I36" s="45">
        <f>SUM(B36:H36)</f>
        <v/>
      </c>
    </row>
    <row r="37">
      <c r="A37" s="39" t="n">
        <v>45383</v>
      </c>
      <c r="B37" s="23" t="n">
        <v>386</v>
      </c>
      <c r="C37" s="23" t="n">
        <v>22</v>
      </c>
      <c r="D37" s="23" t="n">
        <v>42</v>
      </c>
      <c r="E37" s="23" t="n">
        <v>233</v>
      </c>
      <c r="F37" s="23" t="n">
        <v>222</v>
      </c>
      <c r="G37" s="23" t="n">
        <v>60</v>
      </c>
      <c r="H37" s="23" t="n"/>
      <c r="I37" s="45">
        <f>SUM(B37:H37)</f>
        <v/>
      </c>
    </row>
    <row r="38">
      <c r="A38" s="39" t="n">
        <v>45413</v>
      </c>
      <c r="B38" s="23" t="n">
        <v>437</v>
      </c>
      <c r="C38" s="23" t="n">
        <v>22</v>
      </c>
      <c r="D38" s="23" t="n">
        <v>42</v>
      </c>
      <c r="E38" s="23" t="n">
        <v>272</v>
      </c>
      <c r="F38" s="23" t="n">
        <v>252</v>
      </c>
      <c r="G38" s="23" t="n">
        <v>63</v>
      </c>
      <c r="H38" s="23" t="n"/>
      <c r="I38" s="45">
        <f>SUM(B38:H38)</f>
        <v/>
      </c>
    </row>
    <row r="39">
      <c r="A39" s="39" t="n">
        <v>45444</v>
      </c>
      <c r="B39" s="23" t="n">
        <v>362</v>
      </c>
      <c r="C39" s="23" t="n">
        <v>19</v>
      </c>
      <c r="D39" s="23" t="n">
        <v>42</v>
      </c>
      <c r="E39" s="23" t="n">
        <v>247</v>
      </c>
      <c r="F39" s="23" t="n">
        <v>235</v>
      </c>
      <c r="G39" s="23" t="n">
        <v>51</v>
      </c>
      <c r="H39" s="23" t="n">
        <v>43</v>
      </c>
      <c r="I39" s="45">
        <f>SUM(B39:H39)</f>
        <v/>
      </c>
    </row>
    <row r="40">
      <c r="A40" s="39" t="n">
        <v>45474</v>
      </c>
      <c r="B40" s="23" t="n">
        <v>386</v>
      </c>
      <c r="C40" s="23" t="n">
        <v>25</v>
      </c>
      <c r="D40" s="23" t="n">
        <v>41</v>
      </c>
      <c r="E40" s="23" t="n">
        <v>258</v>
      </c>
      <c r="F40" s="23" t="n">
        <v>229</v>
      </c>
      <c r="G40" s="23" t="n">
        <v>54</v>
      </c>
      <c r="H40" s="23" t="n">
        <v>72</v>
      </c>
      <c r="I40" s="45">
        <f>SUM(B40:H40)</f>
        <v/>
      </c>
    </row>
    <row r="41">
      <c r="A41" s="39" t="n">
        <v>45505</v>
      </c>
      <c r="B41" s="23" t="n">
        <v>375</v>
      </c>
      <c r="C41" s="23" t="n">
        <v>29</v>
      </c>
      <c r="D41" s="23" t="n">
        <v>47</v>
      </c>
      <c r="E41" s="23" t="n">
        <v>273</v>
      </c>
      <c r="F41" s="23" t="n">
        <v>251</v>
      </c>
      <c r="G41" s="23" t="n">
        <v>51</v>
      </c>
      <c r="H41" s="23" t="n">
        <v>76</v>
      </c>
      <c r="I41" s="45">
        <f>SUM(B41:H41)</f>
        <v/>
      </c>
    </row>
    <row r="42">
      <c r="A42" s="39" t="n">
        <v>45536</v>
      </c>
      <c r="B42" s="23" t="n">
        <v>384</v>
      </c>
      <c r="C42" s="23" t="n">
        <v>22</v>
      </c>
      <c r="D42" s="23" t="n">
        <v>42</v>
      </c>
      <c r="E42" s="23" t="n">
        <v>281</v>
      </c>
      <c r="F42" s="23" t="n">
        <v>228</v>
      </c>
      <c r="G42" s="23" t="n">
        <v>53</v>
      </c>
      <c r="H42" s="23" t="n">
        <v>65</v>
      </c>
      <c r="I42" s="45">
        <f>SUM(B42:H42)</f>
        <v/>
      </c>
    </row>
    <row r="43">
      <c r="A43" s="39" t="n">
        <v>45566</v>
      </c>
      <c r="B43" s="23" t="n">
        <v>431</v>
      </c>
      <c r="C43" s="23" t="n">
        <v>23</v>
      </c>
      <c r="D43" s="23" t="n">
        <v>66</v>
      </c>
      <c r="E43" s="23" t="n">
        <v>283</v>
      </c>
      <c r="F43" s="23" t="n">
        <v>388</v>
      </c>
      <c r="G43" s="23" t="n">
        <v>61</v>
      </c>
      <c r="H43" s="23" t="n">
        <v>83</v>
      </c>
      <c r="I43" s="45">
        <f>SUM(B43:H43)</f>
        <v/>
      </c>
    </row>
    <row r="44">
      <c r="A44" s="39" t="n">
        <v>45597</v>
      </c>
      <c r="B44" s="23" t="n">
        <v>495</v>
      </c>
      <c r="C44" s="23" t="n">
        <v>27</v>
      </c>
      <c r="D44" s="23" t="n">
        <v>62</v>
      </c>
      <c r="E44" s="23" t="n">
        <v>363</v>
      </c>
      <c r="F44" s="23" t="n">
        <v>522</v>
      </c>
      <c r="G44" s="23" t="n">
        <v>79</v>
      </c>
      <c r="H44" s="23" t="n">
        <v>90</v>
      </c>
      <c r="I44" s="45">
        <f>SUM(B44:H44)</f>
        <v/>
      </c>
    </row>
    <row r="45">
      <c r="A45" s="39" t="n">
        <v>45627</v>
      </c>
      <c r="B45" s="23" t="n">
        <v>577</v>
      </c>
      <c r="C45" s="23" t="n">
        <v>32</v>
      </c>
      <c r="D45" s="23" t="n">
        <v>69</v>
      </c>
      <c r="E45" s="23" t="n">
        <v>390</v>
      </c>
      <c r="F45" s="23" t="n">
        <v>605</v>
      </c>
      <c r="G45" s="23" t="n">
        <v>73</v>
      </c>
      <c r="H45" s="23" t="n">
        <v>101</v>
      </c>
      <c r="I45" s="45">
        <f>SUM(B45:H45)</f>
        <v/>
      </c>
    </row>
    <row r="46">
      <c r="A46" s="39" t="n">
        <v>45658</v>
      </c>
      <c r="B46" s="23" t="n">
        <v>414</v>
      </c>
      <c r="C46" s="23" t="n">
        <v>42</v>
      </c>
      <c r="D46" s="23" t="n">
        <v>46</v>
      </c>
      <c r="E46" s="23" t="n">
        <v>275</v>
      </c>
      <c r="F46" s="23" t="n">
        <v>403</v>
      </c>
      <c r="G46" s="23" t="n">
        <v>55</v>
      </c>
      <c r="H46" s="23" t="n">
        <v>74</v>
      </c>
      <c r="I46" s="45">
        <f>SUM(B46:H46)</f>
        <v/>
      </c>
    </row>
    <row r="47">
      <c r="A47" s="39" t="n">
        <v>45689</v>
      </c>
      <c r="B47" s="23" t="n">
        <v>333</v>
      </c>
      <c r="C47" s="23" t="n">
        <v>24</v>
      </c>
      <c r="D47" s="23" t="n">
        <v>39</v>
      </c>
      <c r="E47" s="23" t="n">
        <v>248</v>
      </c>
      <c r="F47" s="23" t="n">
        <v>198</v>
      </c>
      <c r="G47" s="23" t="n">
        <v>59</v>
      </c>
      <c r="H47" s="23" t="n">
        <v>58</v>
      </c>
      <c r="I47" s="45">
        <f>SUM(B47:H47)</f>
        <v/>
      </c>
    </row>
    <row r="48">
      <c r="A48" s="39" t="n">
        <v>45717</v>
      </c>
      <c r="B48" s="23" t="n">
        <v>438</v>
      </c>
      <c r="C48" s="23" t="n">
        <v>35</v>
      </c>
      <c r="D48" s="23" t="n">
        <v>44</v>
      </c>
      <c r="E48" s="23" t="n">
        <v>288</v>
      </c>
      <c r="F48" s="23" t="n">
        <v>254</v>
      </c>
      <c r="G48" s="23" t="n">
        <v>57</v>
      </c>
      <c r="H48" s="23" t="n">
        <v>81</v>
      </c>
      <c r="I48" s="45">
        <f>SUM(B48:H48)</f>
        <v/>
      </c>
    </row>
    <row r="49">
      <c r="A49" s="39" t="n">
        <v>45748</v>
      </c>
      <c r="B49" s="23" t="n">
        <v>443</v>
      </c>
      <c r="C49" s="23" t="n">
        <v>30</v>
      </c>
      <c r="D49" s="23" t="n">
        <v>44</v>
      </c>
      <c r="E49" s="23" t="n">
        <v>304</v>
      </c>
      <c r="F49" s="23" t="n">
        <v>242</v>
      </c>
      <c r="G49" s="23" t="n">
        <v>54</v>
      </c>
      <c r="H49" s="23" t="n">
        <v>73</v>
      </c>
      <c r="I49" s="45">
        <f>SUM(B49:H49)</f>
        <v/>
      </c>
    </row>
    <row r="50">
      <c r="A50" s="39" t="n">
        <v>45778</v>
      </c>
      <c r="B50" s="23" t="n">
        <v>434</v>
      </c>
      <c r="C50" s="23" t="n">
        <v>23</v>
      </c>
      <c r="D50" s="23" t="n">
        <v>54</v>
      </c>
      <c r="E50" s="23" t="n">
        <v>330</v>
      </c>
      <c r="F50" s="23" t="n">
        <v>277</v>
      </c>
      <c r="G50" s="23" t="n">
        <v>70</v>
      </c>
      <c r="H50" s="23" t="n">
        <v>84</v>
      </c>
      <c r="I50" s="45">
        <f>SUM(B50:H50)</f>
        <v/>
      </c>
    </row>
    <row r="51">
      <c r="A51" s="39" t="n">
        <v>45809</v>
      </c>
      <c r="B51" s="23" t="n">
        <v>393</v>
      </c>
      <c r="C51" s="23" t="n">
        <v>38</v>
      </c>
      <c r="D51" s="23" t="n">
        <v>59</v>
      </c>
      <c r="E51" s="23" t="n">
        <v>291</v>
      </c>
      <c r="F51" s="23" t="n">
        <v>267</v>
      </c>
      <c r="G51" s="23" t="n">
        <v>58</v>
      </c>
      <c r="H51" s="23" t="n">
        <v>83</v>
      </c>
      <c r="I51" s="45">
        <f>SUM(B51:H51)</f>
        <v/>
      </c>
    </row>
    <row r="52">
      <c r="A52" s="39" t="n">
        <v>45839</v>
      </c>
      <c r="B52" s="23" t="n">
        <v>404</v>
      </c>
      <c r="C52" s="23" t="n">
        <v>30</v>
      </c>
      <c r="D52" s="23" t="n">
        <v>58</v>
      </c>
      <c r="E52" s="23" t="n">
        <v>269</v>
      </c>
      <c r="F52" s="23" t="n">
        <v>271</v>
      </c>
      <c r="G52" s="23" t="n">
        <v>55</v>
      </c>
      <c r="H52" s="23" t="n">
        <v>91</v>
      </c>
      <c r="I52" s="45">
        <f>SUM(B52:H52)</f>
        <v/>
      </c>
    </row>
    <row r="53">
      <c r="A53" s="39" t="n">
        <v>45870</v>
      </c>
      <c r="B53" s="23" t="n">
        <v>397</v>
      </c>
      <c r="C53" s="23" t="n">
        <v>22</v>
      </c>
      <c r="D53" s="23" t="n">
        <v>57</v>
      </c>
      <c r="E53" s="23" t="n">
        <v>263</v>
      </c>
      <c r="F53" s="23" t="n">
        <v>252</v>
      </c>
      <c r="G53" s="23" t="n">
        <v>67</v>
      </c>
      <c r="H53" s="23" t="n">
        <v>74</v>
      </c>
      <c r="I53" s="45">
        <f>SUM(B53:H53)</f>
        <v/>
      </c>
    </row>
    <row r="54">
      <c r="A54" s="39" t="n">
        <v>45901</v>
      </c>
      <c r="B54" s="23" t="n">
        <v>430</v>
      </c>
      <c r="C54" s="23" t="n">
        <v>28</v>
      </c>
      <c r="D54" s="23" t="n">
        <v>39</v>
      </c>
      <c r="E54" s="23" t="n">
        <v>289</v>
      </c>
      <c r="F54" s="23" t="n">
        <v>306</v>
      </c>
      <c r="G54" s="23" t="n">
        <v>70</v>
      </c>
      <c r="H54" s="23" t="n">
        <v>73</v>
      </c>
      <c r="I54" s="45">
        <f>SUM(B54:H54)</f>
        <v/>
      </c>
    </row>
    <row r="55">
      <c r="A55" s="39" t="n">
        <v>45931</v>
      </c>
      <c r="B55" s="23" t="n">
        <v>455</v>
      </c>
      <c r="C55" s="23" t="n">
        <v>35</v>
      </c>
      <c r="D55" s="23" t="n">
        <v>57</v>
      </c>
      <c r="E55" s="23" t="n">
        <v>290</v>
      </c>
      <c r="F55" s="23" t="n">
        <v>513</v>
      </c>
      <c r="G55" s="23" t="n">
        <v>74</v>
      </c>
      <c r="H55" s="23" t="n">
        <v>98</v>
      </c>
      <c r="I55" s="45">
        <f>SUM(B55:H55)</f>
        <v/>
      </c>
    </row>
    <row r="56">
      <c r="A56" s="39" t="n">
        <v>45962</v>
      </c>
      <c r="B56" s="23" t="n">
        <v>517</v>
      </c>
      <c r="C56" s="23" t="n">
        <v>30</v>
      </c>
      <c r="D56" s="23" t="n">
        <v>58</v>
      </c>
      <c r="E56" s="23" t="n">
        <v>331</v>
      </c>
      <c r="F56" s="23" t="n">
        <v>663</v>
      </c>
      <c r="G56" s="23" t="n">
        <v>63</v>
      </c>
      <c r="H56" s="23" t="n">
        <v>98</v>
      </c>
      <c r="I56" s="45">
        <f>SUM(B56:H56)</f>
        <v/>
      </c>
    </row>
    <row r="57">
      <c r="A57" s="39" t="n">
        <v>45992</v>
      </c>
      <c r="B57" s="23" t="n">
        <v>584</v>
      </c>
      <c r="C57" s="23" t="n">
        <v>34</v>
      </c>
      <c r="D57" s="23" t="n">
        <v>68</v>
      </c>
      <c r="E57" s="23" t="n">
        <v>366</v>
      </c>
      <c r="F57" s="23" t="n">
        <v>690</v>
      </c>
      <c r="G57" s="23" t="n">
        <v>82</v>
      </c>
      <c r="H57" s="23" t="n">
        <v>109</v>
      </c>
      <c r="I57" s="45">
        <f>SUM(B57:H57)</f>
        <v/>
      </c>
    </row>
    <row r="60">
      <c r="A60" s="38" t="inlineStr">
        <is>
          <t>Monthly CAC (spend ÷ first purchases)</t>
        </is>
      </c>
    </row>
    <row r="61" ht="30" customHeight="1">
      <c r="A61" s="12" t="inlineStr">
        <is>
          <t>Month</t>
        </is>
      </c>
      <c r="B61" s="12" t="inlineStr">
        <is>
          <t>Affiliate</t>
        </is>
      </c>
      <c r="C61" s="12" t="inlineStr">
        <is>
          <t>Display</t>
        </is>
      </c>
      <c r="D61" s="12" t="inlineStr">
        <is>
          <t>Email</t>
        </is>
      </c>
      <c r="E61" s="12" t="inlineStr">
        <is>
          <t>Paid Search</t>
        </is>
      </c>
      <c r="F61" s="12" t="inlineStr">
        <is>
          <t>Paid Social</t>
        </is>
      </c>
      <c r="G61" s="12" t="inlineStr">
        <is>
          <t>Referral</t>
        </is>
      </c>
      <c r="H61" s="12" t="inlineStr">
        <is>
          <t>Video</t>
        </is>
      </c>
      <c r="I61" s="12" t="inlineStr">
        <is>
          <t>Blended</t>
        </is>
      </c>
    </row>
    <row r="62">
      <c r="A62" s="39">
        <f>A6</f>
        <v/>
      </c>
      <c r="B62" s="25">
        <f>IF(OR(B34="",B34=0),"",B6/B34)</f>
        <v/>
      </c>
      <c r="C62" s="25">
        <f>IF(OR(C34="",C34=0),"",C6/C34)</f>
        <v/>
      </c>
      <c r="D62" s="25">
        <f>IF(OR(D34="",D34=0),"",D6/D34)</f>
        <v/>
      </c>
      <c r="E62" s="25">
        <f>IF(OR(E34="",E34=0),"",E6/E34)</f>
        <v/>
      </c>
      <c r="F62" s="25">
        <f>IF(OR(F34="",F34=0),"",F6/F34)</f>
        <v/>
      </c>
      <c r="G62" s="25">
        <f>IF(OR(G34="",G34=0),"",G6/G34)</f>
        <v/>
      </c>
      <c r="H62" s="25">
        <f>IF(OR(H34="",H34=0),"",H6/H34)</f>
        <v/>
      </c>
      <c r="I62" s="25">
        <f>IF(OR(I34="",I34=0),"",I6/I34)</f>
        <v/>
      </c>
    </row>
    <row r="63">
      <c r="A63" s="39">
        <f>A7</f>
        <v/>
      </c>
      <c r="B63" s="25">
        <f>IF(OR(B35="",B35=0),"",B7/B35)</f>
        <v/>
      </c>
      <c r="C63" s="25">
        <f>IF(OR(C35="",C35=0),"",C7/C35)</f>
        <v/>
      </c>
      <c r="D63" s="25">
        <f>IF(OR(D35="",D35=0),"",D7/D35)</f>
        <v/>
      </c>
      <c r="E63" s="25">
        <f>IF(OR(E35="",E35=0),"",E7/E35)</f>
        <v/>
      </c>
      <c r="F63" s="25">
        <f>IF(OR(F35="",F35=0),"",F7/F35)</f>
        <v/>
      </c>
      <c r="G63" s="25">
        <f>IF(OR(G35="",G35=0),"",G7/G35)</f>
        <v/>
      </c>
      <c r="H63" s="25">
        <f>IF(OR(H35="",H35=0),"",H7/H35)</f>
        <v/>
      </c>
      <c r="I63" s="25">
        <f>IF(OR(I35="",I35=0),"",I7/I35)</f>
        <v/>
      </c>
    </row>
    <row r="64">
      <c r="A64" s="39">
        <f>A8</f>
        <v/>
      </c>
      <c r="B64" s="25">
        <f>IF(OR(B36="",B36=0),"",B8/B36)</f>
        <v/>
      </c>
      <c r="C64" s="25">
        <f>IF(OR(C36="",C36=0),"",C8/C36)</f>
        <v/>
      </c>
      <c r="D64" s="25">
        <f>IF(OR(D36="",D36=0),"",D8/D36)</f>
        <v/>
      </c>
      <c r="E64" s="25">
        <f>IF(OR(E36="",E36=0),"",E8/E36)</f>
        <v/>
      </c>
      <c r="F64" s="25">
        <f>IF(OR(F36="",F36=0),"",F8/F36)</f>
        <v/>
      </c>
      <c r="G64" s="25">
        <f>IF(OR(G36="",G36=0),"",G8/G36)</f>
        <v/>
      </c>
      <c r="H64" s="25">
        <f>IF(OR(H36="",H36=0),"",H8/H36)</f>
        <v/>
      </c>
      <c r="I64" s="25">
        <f>IF(OR(I36="",I36=0),"",I8/I36)</f>
        <v/>
      </c>
    </row>
    <row r="65">
      <c r="A65" s="39">
        <f>A9</f>
        <v/>
      </c>
      <c r="B65" s="25">
        <f>IF(OR(B37="",B37=0),"",B9/B37)</f>
        <v/>
      </c>
      <c r="C65" s="25">
        <f>IF(OR(C37="",C37=0),"",C9/C37)</f>
        <v/>
      </c>
      <c r="D65" s="25">
        <f>IF(OR(D37="",D37=0),"",D9/D37)</f>
        <v/>
      </c>
      <c r="E65" s="25">
        <f>IF(OR(E37="",E37=0),"",E9/E37)</f>
        <v/>
      </c>
      <c r="F65" s="25">
        <f>IF(OR(F37="",F37=0),"",F9/F37)</f>
        <v/>
      </c>
      <c r="G65" s="25">
        <f>IF(OR(G37="",G37=0),"",G9/G37)</f>
        <v/>
      </c>
      <c r="H65" s="25">
        <f>IF(OR(H37="",H37=0),"",H9/H37)</f>
        <v/>
      </c>
      <c r="I65" s="25">
        <f>IF(OR(I37="",I37=0),"",I9/I37)</f>
        <v/>
      </c>
    </row>
    <row r="66">
      <c r="A66" s="39">
        <f>A10</f>
        <v/>
      </c>
      <c r="B66" s="25">
        <f>IF(OR(B38="",B38=0),"",B10/B38)</f>
        <v/>
      </c>
      <c r="C66" s="25">
        <f>IF(OR(C38="",C38=0),"",C10/C38)</f>
        <v/>
      </c>
      <c r="D66" s="25">
        <f>IF(OR(D38="",D38=0),"",D10/D38)</f>
        <v/>
      </c>
      <c r="E66" s="25">
        <f>IF(OR(E38="",E38=0),"",E10/E38)</f>
        <v/>
      </c>
      <c r="F66" s="25">
        <f>IF(OR(F38="",F38=0),"",F10/F38)</f>
        <v/>
      </c>
      <c r="G66" s="25">
        <f>IF(OR(G38="",G38=0),"",G10/G38)</f>
        <v/>
      </c>
      <c r="H66" s="25">
        <f>IF(OR(H38="",H38=0),"",H10/H38)</f>
        <v/>
      </c>
      <c r="I66" s="25">
        <f>IF(OR(I38="",I38=0),"",I10/I38)</f>
        <v/>
      </c>
    </row>
    <row r="67">
      <c r="A67" s="39">
        <f>A11</f>
        <v/>
      </c>
      <c r="B67" s="25">
        <f>IF(OR(B39="",B39=0),"",B11/B39)</f>
        <v/>
      </c>
      <c r="C67" s="25">
        <f>IF(OR(C39="",C39=0),"",C11/C39)</f>
        <v/>
      </c>
      <c r="D67" s="25">
        <f>IF(OR(D39="",D39=0),"",D11/D39)</f>
        <v/>
      </c>
      <c r="E67" s="25">
        <f>IF(OR(E39="",E39=0),"",E11/E39)</f>
        <v/>
      </c>
      <c r="F67" s="25">
        <f>IF(OR(F39="",F39=0),"",F11/F39)</f>
        <v/>
      </c>
      <c r="G67" s="25">
        <f>IF(OR(G39="",G39=0),"",G11/G39)</f>
        <v/>
      </c>
      <c r="H67" s="25">
        <f>IF(OR(H39="",H39=0),"",H11/H39)</f>
        <v/>
      </c>
      <c r="I67" s="25">
        <f>IF(OR(I39="",I39=0),"",I11/I39)</f>
        <v/>
      </c>
    </row>
    <row r="68">
      <c r="A68" s="39">
        <f>A12</f>
        <v/>
      </c>
      <c r="B68" s="25">
        <f>IF(OR(B40="",B40=0),"",B12/B40)</f>
        <v/>
      </c>
      <c r="C68" s="25">
        <f>IF(OR(C40="",C40=0),"",C12/C40)</f>
        <v/>
      </c>
      <c r="D68" s="25">
        <f>IF(OR(D40="",D40=0),"",D12/D40)</f>
        <v/>
      </c>
      <c r="E68" s="25">
        <f>IF(OR(E40="",E40=0),"",E12/E40)</f>
        <v/>
      </c>
      <c r="F68" s="25">
        <f>IF(OR(F40="",F40=0),"",F12/F40)</f>
        <v/>
      </c>
      <c r="G68" s="25">
        <f>IF(OR(G40="",G40=0),"",G12/G40)</f>
        <v/>
      </c>
      <c r="H68" s="25">
        <f>IF(OR(H40="",H40=0),"",H12/H40)</f>
        <v/>
      </c>
      <c r="I68" s="25">
        <f>IF(OR(I40="",I40=0),"",I12/I40)</f>
        <v/>
      </c>
    </row>
    <row r="69">
      <c r="A69" s="39">
        <f>A13</f>
        <v/>
      </c>
      <c r="B69" s="25">
        <f>IF(OR(B41="",B41=0),"",B13/B41)</f>
        <v/>
      </c>
      <c r="C69" s="25">
        <f>IF(OR(C41="",C41=0),"",C13/C41)</f>
        <v/>
      </c>
      <c r="D69" s="25">
        <f>IF(OR(D41="",D41=0),"",D13/D41)</f>
        <v/>
      </c>
      <c r="E69" s="25">
        <f>IF(OR(E41="",E41=0),"",E13/E41)</f>
        <v/>
      </c>
      <c r="F69" s="25">
        <f>IF(OR(F41="",F41=0),"",F13/F41)</f>
        <v/>
      </c>
      <c r="G69" s="25">
        <f>IF(OR(G41="",G41=0),"",G13/G41)</f>
        <v/>
      </c>
      <c r="H69" s="25">
        <f>IF(OR(H41="",H41=0),"",H13/H41)</f>
        <v/>
      </c>
      <c r="I69" s="25">
        <f>IF(OR(I41="",I41=0),"",I13/I41)</f>
        <v/>
      </c>
    </row>
    <row r="70">
      <c r="A70" s="39">
        <f>A14</f>
        <v/>
      </c>
      <c r="B70" s="25">
        <f>IF(OR(B42="",B42=0),"",B14/B42)</f>
        <v/>
      </c>
      <c r="C70" s="25">
        <f>IF(OR(C42="",C42=0),"",C14/C42)</f>
        <v/>
      </c>
      <c r="D70" s="25">
        <f>IF(OR(D42="",D42=0),"",D14/D42)</f>
        <v/>
      </c>
      <c r="E70" s="25">
        <f>IF(OR(E42="",E42=0),"",E14/E42)</f>
        <v/>
      </c>
      <c r="F70" s="25">
        <f>IF(OR(F42="",F42=0),"",F14/F42)</f>
        <v/>
      </c>
      <c r="G70" s="25">
        <f>IF(OR(G42="",G42=0),"",G14/G42)</f>
        <v/>
      </c>
      <c r="H70" s="25">
        <f>IF(OR(H42="",H42=0),"",H14/H42)</f>
        <v/>
      </c>
      <c r="I70" s="25">
        <f>IF(OR(I42="",I42=0),"",I14/I42)</f>
        <v/>
      </c>
    </row>
    <row r="71">
      <c r="A71" s="39">
        <f>A15</f>
        <v/>
      </c>
      <c r="B71" s="25">
        <f>IF(OR(B43="",B43=0),"",B15/B43)</f>
        <v/>
      </c>
      <c r="C71" s="25">
        <f>IF(OR(C43="",C43=0),"",C15/C43)</f>
        <v/>
      </c>
      <c r="D71" s="25">
        <f>IF(OR(D43="",D43=0),"",D15/D43)</f>
        <v/>
      </c>
      <c r="E71" s="25">
        <f>IF(OR(E43="",E43=0),"",E15/E43)</f>
        <v/>
      </c>
      <c r="F71" s="25">
        <f>IF(OR(F43="",F43=0),"",F15/F43)</f>
        <v/>
      </c>
      <c r="G71" s="25">
        <f>IF(OR(G43="",G43=0),"",G15/G43)</f>
        <v/>
      </c>
      <c r="H71" s="25">
        <f>IF(OR(H43="",H43=0),"",H15/H43)</f>
        <v/>
      </c>
      <c r="I71" s="25">
        <f>IF(OR(I43="",I43=0),"",I15/I43)</f>
        <v/>
      </c>
    </row>
    <row r="72">
      <c r="A72" s="39">
        <f>A16</f>
        <v/>
      </c>
      <c r="B72" s="25">
        <f>IF(OR(B44="",B44=0),"",B16/B44)</f>
        <v/>
      </c>
      <c r="C72" s="25">
        <f>IF(OR(C44="",C44=0),"",C16/C44)</f>
        <v/>
      </c>
      <c r="D72" s="25">
        <f>IF(OR(D44="",D44=0),"",D16/D44)</f>
        <v/>
      </c>
      <c r="E72" s="25">
        <f>IF(OR(E44="",E44=0),"",E16/E44)</f>
        <v/>
      </c>
      <c r="F72" s="25">
        <f>IF(OR(F44="",F44=0),"",F16/F44)</f>
        <v/>
      </c>
      <c r="G72" s="25">
        <f>IF(OR(G44="",G44=0),"",G16/G44)</f>
        <v/>
      </c>
      <c r="H72" s="25">
        <f>IF(OR(H44="",H44=0),"",H16/H44)</f>
        <v/>
      </c>
      <c r="I72" s="25">
        <f>IF(OR(I44="",I44=0),"",I16/I44)</f>
        <v/>
      </c>
    </row>
    <row r="73">
      <c r="A73" s="39">
        <f>A17</f>
        <v/>
      </c>
      <c r="B73" s="25">
        <f>IF(OR(B45="",B45=0),"",B17/B45)</f>
        <v/>
      </c>
      <c r="C73" s="25">
        <f>IF(OR(C45="",C45=0),"",C17/C45)</f>
        <v/>
      </c>
      <c r="D73" s="25">
        <f>IF(OR(D45="",D45=0),"",D17/D45)</f>
        <v/>
      </c>
      <c r="E73" s="25">
        <f>IF(OR(E45="",E45=0),"",E17/E45)</f>
        <v/>
      </c>
      <c r="F73" s="25">
        <f>IF(OR(F45="",F45=0),"",F17/F45)</f>
        <v/>
      </c>
      <c r="G73" s="25">
        <f>IF(OR(G45="",G45=0),"",G17/G45)</f>
        <v/>
      </c>
      <c r="H73" s="25">
        <f>IF(OR(H45="",H45=0),"",H17/H45)</f>
        <v/>
      </c>
      <c r="I73" s="25">
        <f>IF(OR(I45="",I45=0),"",I17/I45)</f>
        <v/>
      </c>
    </row>
    <row r="74">
      <c r="A74" s="39">
        <f>A18</f>
        <v/>
      </c>
      <c r="B74" s="25">
        <f>IF(OR(B46="",B46=0),"",B18/B46)</f>
        <v/>
      </c>
      <c r="C74" s="25">
        <f>IF(OR(C46="",C46=0),"",C18/C46)</f>
        <v/>
      </c>
      <c r="D74" s="25">
        <f>IF(OR(D46="",D46=0),"",D18/D46)</f>
        <v/>
      </c>
      <c r="E74" s="25">
        <f>IF(OR(E46="",E46=0),"",E18/E46)</f>
        <v/>
      </c>
      <c r="F74" s="25">
        <f>IF(OR(F46="",F46=0),"",F18/F46)</f>
        <v/>
      </c>
      <c r="G74" s="25">
        <f>IF(OR(G46="",G46=0),"",G18/G46)</f>
        <v/>
      </c>
      <c r="H74" s="25">
        <f>IF(OR(H46="",H46=0),"",H18/H46)</f>
        <v/>
      </c>
      <c r="I74" s="25">
        <f>IF(OR(I46="",I46=0),"",I18/I46)</f>
        <v/>
      </c>
    </row>
    <row r="75">
      <c r="A75" s="39">
        <f>A19</f>
        <v/>
      </c>
      <c r="B75" s="25">
        <f>IF(OR(B47="",B47=0),"",B19/B47)</f>
        <v/>
      </c>
      <c r="C75" s="25">
        <f>IF(OR(C47="",C47=0),"",C19/C47)</f>
        <v/>
      </c>
      <c r="D75" s="25">
        <f>IF(OR(D47="",D47=0),"",D19/D47)</f>
        <v/>
      </c>
      <c r="E75" s="25">
        <f>IF(OR(E47="",E47=0),"",E19/E47)</f>
        <v/>
      </c>
      <c r="F75" s="25">
        <f>IF(OR(F47="",F47=0),"",F19/F47)</f>
        <v/>
      </c>
      <c r="G75" s="25">
        <f>IF(OR(G47="",G47=0),"",G19/G47)</f>
        <v/>
      </c>
      <c r="H75" s="25">
        <f>IF(OR(H47="",H47=0),"",H19/H47)</f>
        <v/>
      </c>
      <c r="I75" s="25">
        <f>IF(OR(I47="",I47=0),"",I19/I47)</f>
        <v/>
      </c>
    </row>
    <row r="76">
      <c r="A76" s="39">
        <f>A20</f>
        <v/>
      </c>
      <c r="B76" s="25">
        <f>IF(OR(B48="",B48=0),"",B20/B48)</f>
        <v/>
      </c>
      <c r="C76" s="25">
        <f>IF(OR(C48="",C48=0),"",C20/C48)</f>
        <v/>
      </c>
      <c r="D76" s="25">
        <f>IF(OR(D48="",D48=0),"",D20/D48)</f>
        <v/>
      </c>
      <c r="E76" s="25">
        <f>IF(OR(E48="",E48=0),"",E20/E48)</f>
        <v/>
      </c>
      <c r="F76" s="25">
        <f>IF(OR(F48="",F48=0),"",F20/F48)</f>
        <v/>
      </c>
      <c r="G76" s="25">
        <f>IF(OR(G48="",G48=0),"",G20/G48)</f>
        <v/>
      </c>
      <c r="H76" s="25">
        <f>IF(OR(H48="",H48=0),"",H20/H48)</f>
        <v/>
      </c>
      <c r="I76" s="25">
        <f>IF(OR(I48="",I48=0),"",I20/I48)</f>
        <v/>
      </c>
    </row>
    <row r="77">
      <c r="A77" s="39">
        <f>A21</f>
        <v/>
      </c>
      <c r="B77" s="25">
        <f>IF(OR(B49="",B49=0),"",B21/B49)</f>
        <v/>
      </c>
      <c r="C77" s="25">
        <f>IF(OR(C49="",C49=0),"",C21/C49)</f>
        <v/>
      </c>
      <c r="D77" s="25">
        <f>IF(OR(D49="",D49=0),"",D21/D49)</f>
        <v/>
      </c>
      <c r="E77" s="25">
        <f>IF(OR(E49="",E49=0),"",E21/E49)</f>
        <v/>
      </c>
      <c r="F77" s="25">
        <f>IF(OR(F49="",F49=0),"",F21/F49)</f>
        <v/>
      </c>
      <c r="G77" s="25">
        <f>IF(OR(G49="",G49=0),"",G21/G49)</f>
        <v/>
      </c>
      <c r="H77" s="25">
        <f>IF(OR(H49="",H49=0),"",H21/H49)</f>
        <v/>
      </c>
      <c r="I77" s="25">
        <f>IF(OR(I49="",I49=0),"",I21/I49)</f>
        <v/>
      </c>
    </row>
    <row r="78">
      <c r="A78" s="39">
        <f>A22</f>
        <v/>
      </c>
      <c r="B78" s="25">
        <f>IF(OR(B50="",B50=0),"",B22/B50)</f>
        <v/>
      </c>
      <c r="C78" s="25">
        <f>IF(OR(C50="",C50=0),"",C22/C50)</f>
        <v/>
      </c>
      <c r="D78" s="25">
        <f>IF(OR(D50="",D50=0),"",D22/D50)</f>
        <v/>
      </c>
      <c r="E78" s="25">
        <f>IF(OR(E50="",E50=0),"",E22/E50)</f>
        <v/>
      </c>
      <c r="F78" s="25">
        <f>IF(OR(F50="",F50=0),"",F22/F50)</f>
        <v/>
      </c>
      <c r="G78" s="25">
        <f>IF(OR(G50="",G50=0),"",G22/G50)</f>
        <v/>
      </c>
      <c r="H78" s="25">
        <f>IF(OR(H50="",H50=0),"",H22/H50)</f>
        <v/>
      </c>
      <c r="I78" s="25">
        <f>IF(OR(I50="",I50=0),"",I22/I50)</f>
        <v/>
      </c>
    </row>
    <row r="79">
      <c r="A79" s="39">
        <f>A23</f>
        <v/>
      </c>
      <c r="B79" s="25">
        <f>IF(OR(B51="",B51=0),"",B23/B51)</f>
        <v/>
      </c>
      <c r="C79" s="25">
        <f>IF(OR(C51="",C51=0),"",C23/C51)</f>
        <v/>
      </c>
      <c r="D79" s="25">
        <f>IF(OR(D51="",D51=0),"",D23/D51)</f>
        <v/>
      </c>
      <c r="E79" s="25">
        <f>IF(OR(E51="",E51=0),"",E23/E51)</f>
        <v/>
      </c>
      <c r="F79" s="25">
        <f>IF(OR(F51="",F51=0),"",F23/F51)</f>
        <v/>
      </c>
      <c r="G79" s="25">
        <f>IF(OR(G51="",G51=0),"",G23/G51)</f>
        <v/>
      </c>
      <c r="H79" s="25">
        <f>IF(OR(H51="",H51=0),"",H23/H51)</f>
        <v/>
      </c>
      <c r="I79" s="25">
        <f>IF(OR(I51="",I51=0),"",I23/I51)</f>
        <v/>
      </c>
    </row>
    <row r="80">
      <c r="A80" s="39">
        <f>A24</f>
        <v/>
      </c>
      <c r="B80" s="25">
        <f>IF(OR(B52="",B52=0),"",B24/B52)</f>
        <v/>
      </c>
      <c r="C80" s="25">
        <f>IF(OR(C52="",C52=0),"",C24/C52)</f>
        <v/>
      </c>
      <c r="D80" s="25">
        <f>IF(OR(D52="",D52=0),"",D24/D52)</f>
        <v/>
      </c>
      <c r="E80" s="25">
        <f>IF(OR(E52="",E52=0),"",E24/E52)</f>
        <v/>
      </c>
      <c r="F80" s="25">
        <f>IF(OR(F52="",F52=0),"",F24/F52)</f>
        <v/>
      </c>
      <c r="G80" s="25">
        <f>IF(OR(G52="",G52=0),"",G24/G52)</f>
        <v/>
      </c>
      <c r="H80" s="25">
        <f>IF(OR(H52="",H52=0),"",H24/H52)</f>
        <v/>
      </c>
      <c r="I80" s="25">
        <f>IF(OR(I52="",I52=0),"",I24/I52)</f>
        <v/>
      </c>
    </row>
    <row r="81">
      <c r="A81" s="39">
        <f>A25</f>
        <v/>
      </c>
      <c r="B81" s="25">
        <f>IF(OR(B53="",B53=0),"",B25/B53)</f>
        <v/>
      </c>
      <c r="C81" s="25">
        <f>IF(OR(C53="",C53=0),"",C25/C53)</f>
        <v/>
      </c>
      <c r="D81" s="25">
        <f>IF(OR(D53="",D53=0),"",D25/D53)</f>
        <v/>
      </c>
      <c r="E81" s="25">
        <f>IF(OR(E53="",E53=0),"",E25/E53)</f>
        <v/>
      </c>
      <c r="F81" s="25">
        <f>IF(OR(F53="",F53=0),"",F25/F53)</f>
        <v/>
      </c>
      <c r="G81" s="25">
        <f>IF(OR(G53="",G53=0),"",G25/G53)</f>
        <v/>
      </c>
      <c r="H81" s="25">
        <f>IF(OR(H53="",H53=0),"",H25/H53)</f>
        <v/>
      </c>
      <c r="I81" s="25">
        <f>IF(OR(I53="",I53=0),"",I25/I53)</f>
        <v/>
      </c>
    </row>
    <row r="82">
      <c r="A82" s="39">
        <f>A26</f>
        <v/>
      </c>
      <c r="B82" s="25">
        <f>IF(OR(B54="",B54=0),"",B26/B54)</f>
        <v/>
      </c>
      <c r="C82" s="25">
        <f>IF(OR(C54="",C54=0),"",C26/C54)</f>
        <v/>
      </c>
      <c r="D82" s="25">
        <f>IF(OR(D54="",D54=0),"",D26/D54)</f>
        <v/>
      </c>
      <c r="E82" s="25">
        <f>IF(OR(E54="",E54=0),"",E26/E54)</f>
        <v/>
      </c>
      <c r="F82" s="25">
        <f>IF(OR(F54="",F54=0),"",F26/F54)</f>
        <v/>
      </c>
      <c r="G82" s="25">
        <f>IF(OR(G54="",G54=0),"",G26/G54)</f>
        <v/>
      </c>
      <c r="H82" s="25">
        <f>IF(OR(H54="",H54=0),"",H26/H54)</f>
        <v/>
      </c>
      <c r="I82" s="25">
        <f>IF(OR(I54="",I54=0),"",I26/I54)</f>
        <v/>
      </c>
    </row>
    <row r="83">
      <c r="A83" s="39">
        <f>A27</f>
        <v/>
      </c>
      <c r="B83" s="25">
        <f>IF(OR(B55="",B55=0),"",B27/B55)</f>
        <v/>
      </c>
      <c r="C83" s="25">
        <f>IF(OR(C55="",C55=0),"",C27/C55)</f>
        <v/>
      </c>
      <c r="D83" s="25">
        <f>IF(OR(D55="",D55=0),"",D27/D55)</f>
        <v/>
      </c>
      <c r="E83" s="25">
        <f>IF(OR(E55="",E55=0),"",E27/E55)</f>
        <v/>
      </c>
      <c r="F83" s="25">
        <f>IF(OR(F55="",F55=0),"",F27/F55)</f>
        <v/>
      </c>
      <c r="G83" s="25">
        <f>IF(OR(G55="",G55=0),"",G27/G55)</f>
        <v/>
      </c>
      <c r="H83" s="25">
        <f>IF(OR(H55="",H55=0),"",H27/H55)</f>
        <v/>
      </c>
      <c r="I83" s="25">
        <f>IF(OR(I55="",I55=0),"",I27/I55)</f>
        <v/>
      </c>
    </row>
    <row r="84">
      <c r="A84" s="39">
        <f>A28</f>
        <v/>
      </c>
      <c r="B84" s="25">
        <f>IF(OR(B56="",B56=0),"",B28/B56)</f>
        <v/>
      </c>
      <c r="C84" s="25">
        <f>IF(OR(C56="",C56=0),"",C28/C56)</f>
        <v/>
      </c>
      <c r="D84" s="25">
        <f>IF(OR(D56="",D56=0),"",D28/D56)</f>
        <v/>
      </c>
      <c r="E84" s="25">
        <f>IF(OR(E56="",E56=0),"",E28/E56)</f>
        <v/>
      </c>
      <c r="F84" s="25">
        <f>IF(OR(F56="",F56=0),"",F28/F56)</f>
        <v/>
      </c>
      <c r="G84" s="25">
        <f>IF(OR(G56="",G56=0),"",G28/G56)</f>
        <v/>
      </c>
      <c r="H84" s="25">
        <f>IF(OR(H56="",H56=0),"",H28/H56)</f>
        <v/>
      </c>
      <c r="I84" s="25">
        <f>IF(OR(I56="",I56=0),"",I28/I56)</f>
        <v/>
      </c>
    </row>
    <row r="85">
      <c r="A85" s="39">
        <f>A29</f>
        <v/>
      </c>
      <c r="B85" s="25">
        <f>IF(OR(B57="",B57=0),"",B29/B57)</f>
        <v/>
      </c>
      <c r="C85" s="25">
        <f>IF(OR(C57="",C57=0),"",C29/C57)</f>
        <v/>
      </c>
      <c r="D85" s="25">
        <f>IF(OR(D57="",D57=0),"",D29/D57)</f>
        <v/>
      </c>
      <c r="E85" s="25">
        <f>IF(OR(E57="",E57=0),"",E29/E57)</f>
        <v/>
      </c>
      <c r="F85" s="25">
        <f>IF(OR(F57="",F57=0),"",F29/F57)</f>
        <v/>
      </c>
      <c r="G85" s="25">
        <f>IF(OR(G57="",G57=0),"",G29/G57)</f>
        <v/>
      </c>
      <c r="H85" s="25">
        <f>IF(OR(H57="",H57=0),"",H29/H57)</f>
        <v/>
      </c>
      <c r="I85" s="25">
        <f>IF(OR(I57="",I57=0),"",I29/I57)</f>
        <v/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</cols>
  <sheetData>
    <row r="1">
      <c r="A1" s="1" t="inlineStr">
        <is>
          <t>Data quality checks</t>
        </is>
      </c>
    </row>
    <row r="2">
      <c r="A2" s="2" t="inlineStr">
        <is>
          <t>Run on the staging tables before any analysis. Every check should pass.</t>
        </is>
      </c>
    </row>
    <row r="4" ht="30" customHeight="1">
      <c r="A4" s="12" t="inlineStr">
        <is>
          <t>Check</t>
        </is>
      </c>
      <c r="B4" s="12" t="inlineStr">
        <is>
          <t>Failing rows</t>
        </is>
      </c>
      <c r="C4" s="12" t="inlineStr">
        <is>
          <t>Result</t>
        </is>
      </c>
    </row>
    <row r="5">
      <c r="A5" t="inlineStr">
        <is>
          <t>Sign-ups with an unknown campaign</t>
        </is>
      </c>
      <c r="B5" s="23" t="n">
        <v>0</v>
      </c>
      <c r="C5" s="40">
        <f>IF(B5=0,"Pass","Fail")</f>
        <v/>
      </c>
    </row>
    <row r="6">
      <c r="A6" t="inlineStr">
        <is>
          <t>Spend rows with an unknown campaign</t>
        </is>
      </c>
      <c r="B6" s="23" t="n">
        <v>0</v>
      </c>
      <c r="C6" s="40">
        <f>IF(B6=0,"Pass","Fail")</f>
        <v/>
      </c>
    </row>
    <row r="7">
      <c r="A7" t="inlineStr">
        <is>
          <t>Spend outside the campaign dates</t>
        </is>
      </c>
      <c r="B7" s="23" t="n">
        <v>0</v>
      </c>
      <c r="C7" s="40">
        <f>IF(B7=0,"Pass","Fail")</f>
        <v/>
      </c>
    </row>
    <row r="8">
      <c r="A8" t="inlineStr">
        <is>
          <t>Orders from an unknown user</t>
        </is>
      </c>
      <c r="B8" s="23" t="n">
        <v>0</v>
      </c>
      <c r="C8" s="40">
        <f>IF(B8=0,"Pass","Fail")</f>
        <v/>
      </c>
    </row>
    <row r="9">
      <c r="A9" t="inlineStr">
        <is>
          <t>Orders dated before the sign-up</t>
        </is>
      </c>
      <c r="B9" s="23" t="n">
        <v>0</v>
      </c>
      <c r="C9" s="40">
        <f>IF(B9=0,"Pass","Fail")</f>
        <v/>
      </c>
    </row>
    <row r="10">
      <c r="A10" t="inlineStr">
        <is>
          <t>Duplicate user IDs</t>
        </is>
      </c>
      <c r="B10" s="23" t="n">
        <v>0</v>
      </c>
      <c r="C10" s="40">
        <f>IF(B10=0,"Pass","Fail")</f>
        <v/>
      </c>
    </row>
    <row r="11">
      <c r="A11" t="inlineStr">
        <is>
          <t>Duplicate order IDs</t>
        </is>
      </c>
      <c r="B11" s="23" t="n">
        <v>0</v>
      </c>
      <c r="C11" s="40">
        <f>IF(B11=0,"Pass","Fail")</f>
        <v/>
      </c>
    </row>
    <row r="12">
      <c r="A12" t="inlineStr">
        <is>
          <t>Negative spend, revenue or cost</t>
        </is>
      </c>
      <c r="B12" s="23" t="n">
        <v>0</v>
      </c>
      <c r="C12" s="40">
        <f>IF(B12=0,"Pass","Fail")</f>
        <v/>
      </c>
    </row>
    <row r="13">
      <c r="A13" t="inlineStr">
        <is>
          <t>Missing dates or amounts</t>
        </is>
      </c>
      <c r="B13" s="23" t="n">
        <v>0</v>
      </c>
      <c r="C13" s="40">
        <f>IF(B13=0,"Pass","Fail")</f>
        <v/>
      </c>
    </row>
  </sheetData>
  <conditionalFormatting sqref="C5:C13">
    <cfRule type="expression" priority="1" dxfId="0">
      <formula>C5="Pass"</formula>
    </cfRule>
    <cfRule type="expression" priority="2" dxfId="1">
      <formula>C5="Fail"</formula>
    </cfRule>
  </conditionalFormatting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Definitions and run details</t>
        </is>
      </c>
    </row>
    <row r="3" ht="30" customHeight="1">
      <c r="A3" s="12" t="inlineStr">
        <is>
          <t>Term</t>
        </is>
      </c>
      <c r="B3" s="12" t="inlineStr">
        <is>
          <t>Definition</t>
        </is>
      </c>
    </row>
    <row r="4">
      <c r="A4" s="46" t="inlineStr">
        <is>
          <t>Sign-up</t>
        </is>
      </c>
      <c r="B4" s="18" t="inlineStr">
        <is>
          <t>A person who registered, credited to the campaign that brought them (first-touch attribution).</t>
        </is>
      </c>
    </row>
    <row r="5">
      <c r="A5" s="46" t="inlineStr">
        <is>
          <t>Customer</t>
        </is>
      </c>
      <c r="B5" s="18" t="inlineStr">
        <is>
          <t>A sign-up who made a first purchase within 180 days of signing up.</t>
        </is>
      </c>
    </row>
    <row r="6">
      <c r="A6" s="46" t="inlineStr">
        <is>
          <t>Measured window</t>
        </is>
      </c>
      <c r="B6" s="18" t="inlineStr">
        <is>
          <t>Sign-ups on or before the mature cutoff, so each has a full 180 days of history. Spend is counted over the same dates.</t>
        </is>
      </c>
    </row>
    <row r="7">
      <c r="A7" s="46" t="inlineStr">
        <is>
          <t>Cohort</t>
        </is>
      </c>
      <c r="B7" s="18" t="inlineStr">
        <is>
          <t>Everyone who signed up in the same calendar month.</t>
        </is>
      </c>
    </row>
    <row r="8">
      <c r="A8" s="46" t="inlineStr">
        <is>
          <t>Cohort conversion</t>
        </is>
      </c>
      <c r="B8" s="18" t="inlineStr">
        <is>
          <t>Share of a cohort that had bought within 30, 60, ... 360 days. Blank until every member has had that long.</t>
        </is>
      </c>
    </row>
    <row r="9">
      <c r="A9" s="46" t="inlineStr">
        <is>
          <t>CAC</t>
        </is>
      </c>
      <c r="B9" s="18" t="inlineStr">
        <is>
          <t>Customer acquisition cost: spend ÷ customers acquired within 180 days.</t>
        </is>
      </c>
    </row>
    <row r="10">
      <c r="A10" s="46" t="inlineStr">
        <is>
          <t>ROAS</t>
        </is>
      </c>
      <c r="B10" s="18" t="inlineStr">
        <is>
          <t>Return on ad spend: 180-day revenue ÷ spend.</t>
        </is>
      </c>
    </row>
    <row r="11">
      <c r="A11" s="46" t="inlineStr">
        <is>
          <t>ROI</t>
        </is>
      </c>
      <c r="B11" s="18" t="inlineStr">
        <is>
          <t>(180-day gross profit − spend) ÷ spend. Uses gross profit, not revenue, because revenue ignores the cost of the goods sold.</t>
        </is>
      </c>
    </row>
    <row r="12">
      <c r="A12" s="46" t="inlineStr">
        <is>
          <t>Payback</t>
        </is>
      </c>
      <c r="B12" s="18" t="inlineStr">
        <is>
          <t>The first 30-day period in which cumulative gross profit from a campaign's sign-ups covered the spend that bought them.</t>
        </is>
      </c>
    </row>
    <row r="13">
      <c r="A13" s="46" t="inlineStr">
        <is>
          <t>LTV:CAC</t>
        </is>
      </c>
      <c r="B13" s="18" t="inlineStr">
        <is>
          <t>180-day gross profit per customer ÷ CAC. Above 1 means a customer is worth more than they cost.</t>
        </is>
      </c>
    </row>
    <row r="14">
      <c r="A14" s="46" t="inlineStr">
        <is>
          <t>Actions</t>
        </is>
      </c>
      <c r="B14" s="18" t="inlineStr">
        <is>
          <t>Scale: ROI at or above the scale threshold. Optimize: ROI between the thresholds, or below the cut threshold but paying back within 12 months. Cut or rework: below the cut threshold and no payback within 12 months. Too early: fewer measured sign-ups than the minimum.</t>
        </is>
      </c>
    </row>
    <row r="16" ht="30" customHeight="1">
      <c r="A16" s="12" t="inlineStr">
        <is>
          <t>Run detail</t>
        </is>
      </c>
      <c r="B16" s="12" t="inlineStr">
        <is>
          <t>Value</t>
        </is>
      </c>
    </row>
    <row r="17">
      <c r="A17" s="46" t="inlineStr">
        <is>
          <t>Source folder</t>
        </is>
      </c>
      <c r="B17" s="18" t="inlineStr">
        <is>
          <t>/home/claude/mroi/marketing-roi-cohort-analysis/data/raw</t>
        </is>
      </c>
    </row>
    <row r="18">
      <c r="A18" s="46" t="inlineStr">
        <is>
          <t>Rows loaded</t>
        </is>
      </c>
      <c r="B18" s="18" t="inlineStr">
        <is>
          <t>13 campaigns, 7,951 spend rows, 117,557 sign-ups, 52,379 orders</t>
        </is>
      </c>
    </row>
    <row r="19">
      <c r="A19" s="46" t="inlineStr">
        <is>
          <t>Data ends</t>
        </is>
      </c>
      <c r="B19" s="18" t="inlineStr">
        <is>
          <t>Dec 31, 2025</t>
        </is>
      </c>
    </row>
    <row r="20">
      <c r="A20" s="46" t="inlineStr">
        <is>
          <t>Horizon</t>
        </is>
      </c>
      <c r="B20" s="18" t="inlineStr">
        <is>
          <t>180 days</t>
        </is>
      </c>
    </row>
    <row r="21">
      <c r="A21" s="46" t="inlineStr">
        <is>
          <t>Measured window</t>
        </is>
      </c>
      <c r="B21" s="18" t="inlineStr">
        <is>
          <t>Sign-ups Jan 1, 2024 to Jul 5, 2025</t>
        </is>
      </c>
    </row>
    <row r="22">
      <c r="A22" s="46" t="inlineStr">
        <is>
          <t>Built</t>
        </is>
      </c>
      <c r="B22" s="18" t="inlineStr">
        <is>
          <t>2026-10-04 14:07 by mroi v1.0.0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2026-10-04T14:07:43Z</dcterms:created>
  <dcterms:modified xmlns:dcterms="http://purl.org/dc/terms/" xmlns:xsi="http://www.w3.org/2001/XMLSchema-instance" xsi:type="dcterms:W3CDTF">2026-10-04T14:07:43Z</dcterms:modified>
</cp:coreProperties>
</file>